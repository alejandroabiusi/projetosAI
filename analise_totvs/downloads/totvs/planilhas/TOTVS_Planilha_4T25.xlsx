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laimer" sheetId="1" r:id="rId4"/>
    <sheet state="visible" name="OPERATIONAL INFO" sheetId="2" r:id="rId5"/>
    <sheet state="visible" name="GAAP-Consolidated-P&amp;L" sheetId="3" r:id="rId6"/>
    <sheet state="visible" name="GAAP-Consolidated-BS" sheetId="4" r:id="rId7"/>
    <sheet state="visible" name="GAAP-Consolidated-CF" sheetId="5" r:id="rId8"/>
    <sheet state="visible" name="Non-GAAP-Techfin-P&amp;L" sheetId="6" r:id="rId9"/>
    <sheet state="visible" name="Non-GAAP-Techfin-BS" sheetId="7" r:id="rId10"/>
    <sheet state="visible" name="Non-GAAP-Techfin-CF" sheetId="8" r:id="rId11"/>
  </sheets>
  <definedNames/>
  <calcPr/>
  <extLst>
    <ext uri="GoogleSheetsCustomDataVersion2">
      <go:sheetsCustomData xmlns:go="http://customooxmlschemas.google.com/" r:id="rId12" roundtripDataChecksum="PXJJE0rgA6pcQa5Ij8dnwMq8CX+MRivTHOk0bACzthU="/>
    </ext>
  </extLst>
</workbook>
</file>

<file path=xl/sharedStrings.xml><?xml version="1.0" encoding="utf-8"?>
<sst xmlns="http://schemas.openxmlformats.org/spreadsheetml/2006/main" count="933" uniqueCount="512">
  <si>
    <t>Disclaimer:</t>
  </si>
  <si>
    <t>Português:</t>
  </si>
  <si>
    <t>- A aba OPERATIONAL INFO contém informações operacionais divulgadas como, por exemplo, ARR, produção de crédito, entre outras</t>
  </si>
  <si>
    <t>- A aba GAAP-Consolidated-P&amp;L possui o Demonstrativo de Resultado (GAAP)</t>
  </si>
  <si>
    <t>- A aba GAAP-Consolidated-BS possui o Balanço Patrimonial (GAAP) com a operação de Techfin Desconsolidada</t>
  </si>
  <si>
    <t>- A aba GAAP-Consolidated-CF possui o Fluxo de Caixa (GAAP) com a operação de Techfin Desconsolidada</t>
  </si>
  <si>
    <t>- A aba Non-GAAP-Consolidated-P&amp;L possui o EBITDA Consolidado com o resultado da operação de Techfin à 50% em todos os períodos</t>
  </si>
  <si>
    <t>- A aba Non-GAAP-Techfin-P&amp;L possui o Demonstrativo de Resultado Non-GAAP da Dimensão de Techin sem os efeitos do FIDC</t>
  </si>
  <si>
    <t>- A aba Non-GAAP-Techfin-BS Techfin wo FIDC possui o Balanço Patrimonial Non-GAAP da Dimensão de Techin sem os efeitos do FIDC</t>
  </si>
  <si>
    <t>- A aba Non-GAAP-Techfin-CF Techfin wo FIDC possui o Fluxo de Caixa Non-GAAP da Dimensão de Techin sem os efeitos do FIDC</t>
  </si>
  <si>
    <t>- As informações contidas na aba CONTRIB MGN PRO FORMA demonstram as margens de contribuição Pró-Forma de Business Performance e Techfin, considerando os resultados não auditados de janeiro a maio de 2020 da Supplier, de janeiro a dezembro de 2020 da Tail Target e de janeiro de 2020 a maio de 2021 da RD station.</t>
  </si>
  <si>
    <t>- As informações contidas na aba IS - 2015 to 2018 estão separadas entre Software e Hardware</t>
  </si>
  <si>
    <t>- As informações contidas na aba IS - 2018 to 2020 possuem as Demonstrações de Resultado consolidadas dos Exercícios de 2018 a 2020</t>
  </si>
  <si>
    <t>English:</t>
  </si>
  <si>
    <t>- The OPERATIONAL INFO sheet contains operational information disclosed such as, ARR, credit production, among others</t>
  </si>
  <si>
    <t>- The GAAP-Consolidated-P&amp;L sheet contains the GAAP Income Statement</t>
  </si>
  <si>
    <t>- The GAAP-Consolidated-BS sheet contains the GAAP Balance Sheet with the deconsolidation of the Techfin operation</t>
  </si>
  <si>
    <t>- The GAAP-Consolidated-CF sheet contains the GAAP Cash Flow witht the deconsolidation of the Techfin operation</t>
  </si>
  <si>
    <t>- The Non-GAAP-Consolidated-P&amp;L sheet contains the Consolitaded EBITDA with the Techfin operation at 50% in all periods</t>
  </si>
  <si>
    <t>- The Non-GAAP-Techfin-P&amp;L sheet contains the Non-GAAP Techfin Dimension Income Statement</t>
  </si>
  <si>
    <t>- The Non-GAAP-Techfin-BS sheet contains the Non-GAAP Techfin Dimension Balance Sheet without the FIDC consolidation</t>
  </si>
  <si>
    <t>- The Non-GAAP-Techfin-CF contains the Non-GAAP Techfin Cash Flow without the FIDC consolidation</t>
  </si>
  <si>
    <t>- Information presented in the CONTRIB MGN PRO FORMA sheet shows the Pro-Forma contribution margins of Business Performance and Techfin, considering the unaudited results from January to May 2020 for Supplier, from January to December 2020 for Tail Target and January 2020 to December 2021 for RD Station</t>
  </si>
  <si>
    <t>- Information presented in the IS - 2015 to 2018 sheet are separated by Software and Hardware</t>
  </si>
  <si>
    <t>- Information presented in the IS - 2018 to 2020 sheet has the consolidated Income Statements for the years 2018 to 2020</t>
  </si>
  <si>
    <t>PORTUGUÊS</t>
  </si>
  <si>
    <t>ENGLISH</t>
  </si>
  <si>
    <t>Informações Operacionais</t>
  </si>
  <si>
    <t>Operational Informations</t>
  </si>
  <si>
    <t>1Q21</t>
  </si>
  <si>
    <t>2Q21</t>
  </si>
  <si>
    <t>3Q21</t>
  </si>
  <si>
    <t>4Q21</t>
  </si>
  <si>
    <t>1Q22</t>
  </si>
  <si>
    <t>2Q22</t>
  </si>
  <si>
    <t>3Q22</t>
  </si>
  <si>
    <t>4Q22</t>
  </si>
  <si>
    <t>1Q23</t>
  </si>
  <si>
    <t>2Q23</t>
  </si>
  <si>
    <t>3Q23</t>
  </si>
  <si>
    <t>4Q23</t>
  </si>
  <si>
    <t>1Q24</t>
  </si>
  <si>
    <t>2Q24</t>
  </si>
  <si>
    <t>3Q24</t>
  </si>
  <si>
    <t>4Q24</t>
  </si>
  <si>
    <t>1Q25</t>
  </si>
  <si>
    <t>2Q25</t>
  </si>
  <si>
    <t>3Q25</t>
  </si>
  <si>
    <t>Consolidado</t>
  </si>
  <si>
    <t>Management</t>
  </si>
  <si>
    <t>ARR (R$ milhões)</t>
  </si>
  <si>
    <t>ARR (R$ million)</t>
  </si>
  <si>
    <t xml:space="preserve">   Baseline</t>
  </si>
  <si>
    <t xml:space="preserve">   Adição Líquida de ARR</t>
  </si>
  <si>
    <t xml:space="preserve">   ARR Net Addition</t>
  </si>
  <si>
    <t xml:space="preserve">   Adição Inorgânica</t>
  </si>
  <si>
    <t xml:space="preserve">   Inorganic Addition</t>
  </si>
  <si>
    <t>Gestão</t>
  </si>
  <si>
    <t>Taxa de Retenção</t>
  </si>
  <si>
    <t>Retention Rate</t>
  </si>
  <si>
    <t>RD Station</t>
  </si>
  <si>
    <t>ARR SaaS (R$ milhões)</t>
  </si>
  <si>
    <t>SaaS ARR (R$ million)</t>
  </si>
  <si>
    <t>Taxa de Retenção SaaS</t>
  </si>
  <si>
    <t>SaaS Retention Rate</t>
  </si>
  <si>
    <t>Techfin</t>
  </si>
  <si>
    <t>Produção de Crédito (R$ milhões)</t>
  </si>
  <si>
    <t>Credit Production (R$ million)</t>
  </si>
  <si>
    <t>Prazo médio de Produção de Crédito (dias)</t>
  </si>
  <si>
    <t>Average Term of Credit Production (days)</t>
  </si>
  <si>
    <t>Carteira de Crédito Supplier (R$ milhões)</t>
  </si>
  <si>
    <t>Supplier Funding Cost (R$ million)</t>
  </si>
  <si>
    <t>Prazo médio calculado Carteira em dia (dias)</t>
  </si>
  <si>
    <t>Calculated Average Term of On Due Portfolio (days)</t>
  </si>
  <si>
    <t>Direitos Credit. da Supplier por Venc. (Em R$ milhões)</t>
  </si>
  <si>
    <t>Supplier's Credit Rights by Maturity (In R$ million)</t>
  </si>
  <si>
    <t xml:space="preserve">   A vencer</t>
  </si>
  <si>
    <t xml:space="preserve">   On Due</t>
  </si>
  <si>
    <t>Títulos Vencidos</t>
  </si>
  <si>
    <t>Notes overdue</t>
  </si>
  <si>
    <t xml:space="preserve">   Até 30 dias</t>
  </si>
  <si>
    <t xml:space="preserve">   Up to 30 days</t>
  </si>
  <si>
    <t xml:space="preserve">   de 31 a 60 dias</t>
  </si>
  <si>
    <t xml:space="preserve">   from 31 to 60 days</t>
  </si>
  <si>
    <t xml:space="preserve">   de 61 a 90 dias</t>
  </si>
  <si>
    <t xml:space="preserve">   from 61 to 90 days</t>
  </si>
  <si>
    <t xml:space="preserve">   de 91 a 180 dias</t>
  </si>
  <si>
    <t xml:space="preserve">   from 91 to 180 days</t>
  </si>
  <si>
    <t xml:space="preserve">   de 181 a 360 dias</t>
  </si>
  <si>
    <t xml:space="preserve">   from 181 to 360 days</t>
  </si>
  <si>
    <t xml:space="preserve">   mais de 360 dias</t>
  </si>
  <si>
    <t xml:space="preserve">   over 360 days</t>
  </si>
  <si>
    <t>Contas a receber bruto</t>
  </si>
  <si>
    <t>Gross Trade Receivables</t>
  </si>
  <si>
    <t>(-) Provisão para perda esperada</t>
  </si>
  <si>
    <t>Provision for Expected Credit Losses</t>
  </si>
  <si>
    <t>Caixa - Operação de Crédito (R$ milhões)</t>
  </si>
  <si>
    <t>Cash Position - Credit Operation (R$ million)</t>
  </si>
  <si>
    <t>Inadimplência acima de 90 dias</t>
  </si>
  <si>
    <t>Delinquency Rate above 90 days</t>
  </si>
  <si>
    <t xml:space="preserve">   Techfin</t>
  </si>
  <si>
    <t xml:space="preserve">   Média Brasil</t>
  </si>
  <si>
    <t xml:space="preserve">   Brazil Average</t>
  </si>
  <si>
    <t>Demonstração de Resultados GAAP
Trimestre (em R$ mil)</t>
  </si>
  <si>
    <t>GAAP Income Statement
Quarter (in R$ thousand)</t>
  </si>
  <si>
    <t>Resultado de Gestão</t>
  </si>
  <si>
    <t>Management Result</t>
  </si>
  <si>
    <t>Receita Líquida</t>
  </si>
  <si>
    <t>Net Revenue</t>
  </si>
  <si>
    <t>Recorrente</t>
  </si>
  <si>
    <t>Recurring</t>
  </si>
  <si>
    <t>Não Recorrente</t>
  </si>
  <si>
    <t>Non Recurring</t>
  </si>
  <si>
    <t xml:space="preserve">   Licenças</t>
  </si>
  <si>
    <t xml:space="preserve">   License</t>
  </si>
  <si>
    <t xml:space="preserve">   Serviços</t>
  </si>
  <si>
    <t xml:space="preserve">   Services</t>
  </si>
  <si>
    <t>Custos</t>
  </si>
  <si>
    <t>Costs</t>
  </si>
  <si>
    <t>Lucro Bruto Ajustado</t>
  </si>
  <si>
    <t>Adjusted Gross Profit</t>
  </si>
  <si>
    <t>Margem Bruta Ajustada</t>
  </si>
  <si>
    <t>Adjusted Gross Margin</t>
  </si>
  <si>
    <t>Pesquisa e Desenvolvimento</t>
  </si>
  <si>
    <t>Research and Development</t>
  </si>
  <si>
    <t>Provisão para Perda Esperada</t>
  </si>
  <si>
    <t>Despesas Comerciais e de Marketing</t>
  </si>
  <si>
    <t>Sales and Marketing Expenses</t>
  </si>
  <si>
    <t>Despesas Gerais e Administrativas</t>
  </si>
  <si>
    <t>General and Administrative Expenses</t>
  </si>
  <si>
    <t>Provisão para Contingências</t>
  </si>
  <si>
    <t>Provision for Contingencies</t>
  </si>
  <si>
    <t>Outras Receitas Operacionais Líquidas</t>
  </si>
  <si>
    <t>Other Net Revenues (Expenses)</t>
  </si>
  <si>
    <t>EBITDA Ajustado de Gestão</t>
  </si>
  <si>
    <t>Management Adjusted EBITDA</t>
  </si>
  <si>
    <t>% EBITDA Ajustado de Gestão</t>
  </si>
  <si>
    <t>% Management Adjusted EBITDA</t>
  </si>
  <si>
    <t>Itens Extraordinários</t>
  </si>
  <si>
    <t>Extraordinary Items</t>
  </si>
  <si>
    <t>Custos com lay-offs</t>
  </si>
  <si>
    <t>Extraordinary Layoffs Costs</t>
  </si>
  <si>
    <t>Provisões - Não Caixa</t>
  </si>
  <si>
    <t>Provision Adjustment - Non Cash</t>
  </si>
  <si>
    <t>Indenização por Rescisão de Contrato</t>
  </si>
  <si>
    <t>Indemnity for Termination of Contract</t>
  </si>
  <si>
    <t>Ajuste de M&amp;A a Valor Justo</t>
  </si>
  <si>
    <t>M&amp;A Adjustment at Fair Value</t>
  </si>
  <si>
    <t>Perda (Ganho) na Baixa de Ativos</t>
  </si>
  <si>
    <t>Lost (Earn) in Investment Sale</t>
  </si>
  <si>
    <t>Gastos com Transações de M&amp;A</t>
  </si>
  <si>
    <t xml:space="preserve">Expenses with M&amp;A Transactions </t>
  </si>
  <si>
    <t>Crédito Tributário</t>
  </si>
  <si>
    <t>Tax Credit</t>
  </si>
  <si>
    <t>Ajuste Extraord. Reestruturação Operacional</t>
  </si>
  <si>
    <t>Extraord. Adj. - Operatl. Restructuring</t>
  </si>
  <si>
    <t>Reoneração da Folha de Pagamento</t>
  </si>
  <si>
    <t>Adj. - Payroll Tax Surcharge</t>
  </si>
  <si>
    <t>EBITDA Gestão</t>
  </si>
  <si>
    <t>Management EBITDA</t>
  </si>
  <si>
    <t>% EBITDA Gestão</t>
  </si>
  <si>
    <t>% Management EBITDA</t>
  </si>
  <si>
    <t>Resultado da RD Station</t>
  </si>
  <si>
    <t>RD Station Result</t>
  </si>
  <si>
    <t xml:space="preserve">   SaaS</t>
  </si>
  <si>
    <t xml:space="preserve">   Transacional</t>
  </si>
  <si>
    <t xml:space="preserve">   Transactional </t>
  </si>
  <si>
    <t>Despesas Administrativas e Outras</t>
  </si>
  <si>
    <t>G&amp;A Expenses and Others</t>
  </si>
  <si>
    <t>EBITDA Ajustado da RD Station</t>
  </si>
  <si>
    <t>RD Station Adjusted EBITDA</t>
  </si>
  <si>
    <t>% EBITDA Ajustado da RD Station</t>
  </si>
  <si>
    <t>% RD Station Adjusted EBITDA</t>
  </si>
  <si>
    <t>Adjustment - Payroll Tax Surcharge</t>
  </si>
  <si>
    <t>EBITDA RD Station</t>
  </si>
  <si>
    <t>RD Station EBITDA</t>
  </si>
  <si>
    <t>% EBITDA RD Station</t>
  </si>
  <si>
    <t>% RD Station EBITDA</t>
  </si>
  <si>
    <t>Gestão + RD Station</t>
  </si>
  <si>
    <t>Management + RD Station Result</t>
  </si>
  <si>
    <t>Lucro Bruto</t>
  </si>
  <si>
    <t>Gross Income</t>
  </si>
  <si>
    <t>Margem Bruta</t>
  </si>
  <si>
    <t>Gross Margin</t>
  </si>
  <si>
    <t>Depreciação e Amortização</t>
  </si>
  <si>
    <t>Depreciation and Amortization</t>
  </si>
  <si>
    <t>Resultado da Equivalência Patrimônial</t>
  </si>
  <si>
    <t>Equity Pickup</t>
  </si>
  <si>
    <t>Lucro antes dos Juros e Impostos (LAJIR)</t>
  </si>
  <si>
    <t>EBIT</t>
  </si>
  <si>
    <t>Resultado Financeiro</t>
  </si>
  <si>
    <t>Financial Result</t>
  </si>
  <si>
    <t>Receitas Financeiras</t>
  </si>
  <si>
    <t>Financial Revenue</t>
  </si>
  <si>
    <t>Despesas Financeiras</t>
  </si>
  <si>
    <t>Financial Expense</t>
  </si>
  <si>
    <t>Lucro Antes da Tributação (LAIR)</t>
  </si>
  <si>
    <t>Earnings Before Taxes (EBT)</t>
  </si>
  <si>
    <t>Imposto de Renda e Contrib. Social</t>
  </si>
  <si>
    <t>Income Tax and Social Contribution</t>
  </si>
  <si>
    <t>Corrente</t>
  </si>
  <si>
    <t>Current</t>
  </si>
  <si>
    <t>Diferido</t>
  </si>
  <si>
    <t>Deferred</t>
  </si>
  <si>
    <t>Lucro líquido Gestão + RD Station</t>
  </si>
  <si>
    <t>Management + RD Station Net Income</t>
  </si>
  <si>
    <t>Techfin - Lucro (Prejuízo) da Operação Descontinuada</t>
  </si>
  <si>
    <t>Techfin - Net Income (Loss) from Discontinued Operation</t>
  </si>
  <si>
    <t>RJ - Lucro (Prejuízo) da Operação Descontinuada</t>
  </si>
  <si>
    <t>RJ - Net Income (Loss) from Discontinued Operation</t>
  </si>
  <si>
    <t>Lucro líquido Consolidado</t>
  </si>
  <si>
    <t>Consolidated Net Income</t>
  </si>
  <si>
    <t>Lucro Líquido de Não Controladores</t>
  </si>
  <si>
    <t>Non-Controlling Net Income</t>
  </si>
  <si>
    <t>Lucro Líquido GAAP</t>
  </si>
  <si>
    <t>GAAP Net Income</t>
  </si>
  <si>
    <t>Margem Líquida</t>
  </si>
  <si>
    <t>Net Margin</t>
  </si>
  <si>
    <t>Lucro (Prejuízo) - Techfin</t>
  </si>
  <si>
    <t>Net Income (Loss) - Techfin</t>
  </si>
  <si>
    <t>Lucro (Prejuízo) - RJ</t>
  </si>
  <si>
    <t>Net Income (Loss) - RJ</t>
  </si>
  <si>
    <t>Imposto de Renda e Contribuição Social</t>
  </si>
  <si>
    <t>LAJIDA GAAP</t>
  </si>
  <si>
    <t>EBITDA GAAP</t>
  </si>
  <si>
    <t>Resultado da Equivalência Patrimônial - Techfin</t>
  </si>
  <si>
    <t>Equity Pickup - Techfin</t>
  </si>
  <si>
    <t>Resultado da Equivalência Patrimônial - Outros</t>
  </si>
  <si>
    <t>Itens Extraordinários - EBITDA</t>
  </si>
  <si>
    <t>Extraordinary Items - EBITDA</t>
  </si>
  <si>
    <t>EBITDA Ajustado</t>
  </si>
  <si>
    <t>Adjusted EBITDA</t>
  </si>
  <si>
    <t>Resultado da Operação Descontinuada ajustado</t>
  </si>
  <si>
    <t>Net Result from Discontinued Operation</t>
  </si>
  <si>
    <t>Ajuste Operação Descontinuada - RJ</t>
  </si>
  <si>
    <t>Discontinued Operation Adjustment - RJ</t>
  </si>
  <si>
    <t>Dividendos preferenciais Techfin</t>
  </si>
  <si>
    <t>Preffered Techfin Dividends</t>
  </si>
  <si>
    <t>Itens Extraordinários Líquidos de IR - EBITDA</t>
  </si>
  <si>
    <t>Net Extraordinary Items - EBITDA</t>
  </si>
  <si>
    <t>Itens Extraordinários Líquidos de IR - Techfin</t>
  </si>
  <si>
    <t>Net Extraordinary Items - Techfin</t>
  </si>
  <si>
    <t>Itens Extraordinários pós EBITDA Líquidos de IR</t>
  </si>
  <si>
    <t>Bellow EBITDA Extraordinary Items - NET</t>
  </si>
  <si>
    <t xml:space="preserve">   Receita Financeira oriunda de créditos tributários</t>
  </si>
  <si>
    <t xml:space="preserve">   Financial Revenue from tax credit</t>
  </si>
  <si>
    <t xml:space="preserve">   AVP oriundos de ajustes de earn-out</t>
  </si>
  <si>
    <t xml:space="preserve">   PV adjustments arising from earn-out adjustments</t>
  </si>
  <si>
    <t xml:space="preserve">   Crédito Tributário oriundo da constituição de IR Diferido da RD Station</t>
  </si>
  <si>
    <t xml:space="preserve">   Tax Credit - Deferred Income Tax of RD Station</t>
  </si>
  <si>
    <t>AVP Opção de Compra Líquido de IR - Dimensa</t>
  </si>
  <si>
    <t>PVA of Call Option, Net - Dimensa</t>
  </si>
  <si>
    <t>Amort. de Intang. de Aquisições Líq. de IR</t>
  </si>
  <si>
    <t>Net Effect of Amortization</t>
  </si>
  <si>
    <t xml:space="preserve">   Amort. Intangíveis Gestão + RD Station</t>
  </si>
  <si>
    <t xml:space="preserve">   Management + RD Station Intangible Amortization</t>
  </si>
  <si>
    <t xml:space="preserve">   Amort. Intangíveis Techfin</t>
  </si>
  <si>
    <t xml:space="preserve">  Techfin Intangible Amortization</t>
  </si>
  <si>
    <t>Lucro líquido Ajustado</t>
  </si>
  <si>
    <t>Adjusted Net Income</t>
  </si>
  <si>
    <t>NOPLAT</t>
  </si>
  <si>
    <t>Balanço Patrimonial (GAAP) (R$ mil)</t>
  </si>
  <si>
    <t>GAAP Balance Sheet (R$ thousand)</t>
  </si>
  <si>
    <t>1Q18</t>
  </si>
  <si>
    <t>2Q18</t>
  </si>
  <si>
    <t>3Q18</t>
  </si>
  <si>
    <t>4Q18</t>
  </si>
  <si>
    <t>1Q19</t>
  </si>
  <si>
    <t>2Q19</t>
  </si>
  <si>
    <t>3Q19</t>
  </si>
  <si>
    <t>4Q19</t>
  </si>
  <si>
    <t>1Q20</t>
  </si>
  <si>
    <t>2Q20</t>
  </si>
  <si>
    <t>3Q20</t>
  </si>
  <si>
    <t>4Q20</t>
  </si>
  <si>
    <t>ATIVO</t>
  </si>
  <si>
    <t>ASSETS</t>
  </si>
  <si>
    <t>Circulante</t>
  </si>
  <si>
    <t>Current assets</t>
  </si>
  <si>
    <t>Caixa e Equivalentes de Caixa</t>
  </si>
  <si>
    <t>Cash and Cash Equivalents</t>
  </si>
  <si>
    <t>Contas a Receber de Clientes</t>
  </si>
  <si>
    <t>Trade Receivables</t>
  </si>
  <si>
    <t>Provisão para Perdas Esperadas</t>
  </si>
  <si>
    <t>Aplicações Financeiras</t>
  </si>
  <si>
    <t>Financial Investments</t>
  </si>
  <si>
    <t>Estoques</t>
  </si>
  <si>
    <t>Inventory</t>
  </si>
  <si>
    <t>Tributos Correntes a Recuperar</t>
  </si>
  <si>
    <t>Recoverable Taxes</t>
  </si>
  <si>
    <t>Garantias de Investimentos</t>
  </si>
  <si>
    <t>Escrow Account</t>
  </si>
  <si>
    <t>Outros Ativos</t>
  </si>
  <si>
    <t>Othe Assets</t>
  </si>
  <si>
    <t>Ativos Mantidos Para Venda</t>
  </si>
  <si>
    <t>Assets For Sale</t>
  </si>
  <si>
    <t>Não circulante</t>
  </si>
  <si>
    <t>Non-current assets</t>
  </si>
  <si>
    <t>Realizável a longo prazo</t>
  </si>
  <si>
    <t>Long-term assets</t>
  </si>
  <si>
    <t>IR e CSLL Diferidos</t>
  </si>
  <si>
    <t>Deferred Tax Assets</t>
  </si>
  <si>
    <t>Depósitos Judiciais</t>
  </si>
  <si>
    <t>Judicial Deposits</t>
  </si>
  <si>
    <t>Crédito com Empresas Ligadas</t>
  </si>
  <si>
    <t>Credit with Related Parties</t>
  </si>
  <si>
    <t>Tributos a Recuperar</t>
  </si>
  <si>
    <t>Recoverable taxes</t>
  </si>
  <si>
    <t>Ativos Financeiros</t>
  </si>
  <si>
    <t>Investiments at Fair Value</t>
  </si>
  <si>
    <t>Investimentos</t>
  </si>
  <si>
    <t>Investments</t>
  </si>
  <si>
    <t>Imobilizado</t>
  </si>
  <si>
    <t>Property, Plant and Equipment</t>
  </si>
  <si>
    <t>Intangível</t>
  </si>
  <si>
    <t>Intangible Assets</t>
  </si>
  <si>
    <t>PASSIVO</t>
  </si>
  <si>
    <t>LIABILITIES</t>
  </si>
  <si>
    <t>Current liabilities</t>
  </si>
  <si>
    <t>Obrigações Sociais e Trabalhistas</t>
  </si>
  <si>
    <t>Labor Liabilities</t>
  </si>
  <si>
    <t>Obrigações fiscais</t>
  </si>
  <si>
    <t>Taxes and Contributions Liabilities</t>
  </si>
  <si>
    <t>Empréstimos e Financiamentos</t>
  </si>
  <si>
    <t>Loans and Financing</t>
  </si>
  <si>
    <t>Financiamento por Arrendamento</t>
  </si>
  <si>
    <t>Lease Liabilities</t>
  </si>
  <si>
    <t>Debêntures</t>
  </si>
  <si>
    <t>Debentures</t>
  </si>
  <si>
    <t>Fornecedores</t>
  </si>
  <si>
    <t>Trade and Other Payables</t>
  </si>
  <si>
    <t>Comissões a Pagar</t>
  </si>
  <si>
    <t>Commissions Payable</t>
  </si>
  <si>
    <t>Obrigações por Aquisição de Investimentos</t>
  </si>
  <si>
    <t>Accounts Payable from Acquisition of Subsidiaries</t>
  </si>
  <si>
    <t>Dividendos e JCP a Pagar</t>
  </si>
  <si>
    <t>Dividends Payable</t>
  </si>
  <si>
    <t>Outros Passivos</t>
  </si>
  <si>
    <t>Other Liabilities</t>
  </si>
  <si>
    <t>Repasse para Parceiros</t>
  </si>
  <si>
    <t>Transfer to Partners</t>
  </si>
  <si>
    <t>Passivos Mantidos para Venda</t>
  </si>
  <si>
    <t>Liabilities for Sale</t>
  </si>
  <si>
    <t>Non-current liabilities</t>
  </si>
  <si>
    <t>Obrigações com Empresas ligadas</t>
  </si>
  <si>
    <t>Obligation related to Related Parties</t>
  </si>
  <si>
    <t>Deferred Income Taxes</t>
  </si>
  <si>
    <t>Obrigações Fiscais</t>
  </si>
  <si>
    <t>Tax Obligations</t>
  </si>
  <si>
    <t>Passivo Financeiro</t>
  </si>
  <si>
    <t>Call Option of Non-controlling Interests</t>
  </si>
  <si>
    <t>Patrimônio líquido</t>
  </si>
  <si>
    <t>Shareholders' equity</t>
  </si>
  <si>
    <t>Capital Social</t>
  </si>
  <si>
    <t>Share Capital</t>
  </si>
  <si>
    <t>Ações em Tesouraria</t>
  </si>
  <si>
    <t>Treasury Shares</t>
  </si>
  <si>
    <t>Reserva de Capital</t>
  </si>
  <si>
    <t>Capital Reserves</t>
  </si>
  <si>
    <t>Reservas de Lucros</t>
  </si>
  <si>
    <t>Profit Reserve</t>
  </si>
  <si>
    <t>Ajustes Acumulados de Conversão</t>
  </si>
  <si>
    <t>Carrying Value Adjustments</t>
  </si>
  <si>
    <t>Dividendo Adicional Proposto</t>
  </si>
  <si>
    <t>Proposed Dividends</t>
  </si>
  <si>
    <t>Participação dos Acionistas Não Controladores</t>
  </si>
  <si>
    <t>Non-controlling Interest</t>
  </si>
  <si>
    <t>Fluxo de Caixa (GAAP)  Trimestre (R$ mil)</t>
  </si>
  <si>
    <t>GAAP Cash Flow - Quarter (R$ thousand)</t>
  </si>
  <si>
    <t>Fluxo de caixa das atividades operacionais:</t>
  </si>
  <si>
    <t>Operating Cashflow</t>
  </si>
  <si>
    <t>Lucro antes Tributação Imp. Renda e Contrib. Social</t>
  </si>
  <si>
    <t>Net income before taxes</t>
  </si>
  <si>
    <t>Ajustes por:</t>
  </si>
  <si>
    <t>Adjustments:</t>
  </si>
  <si>
    <t>Pagamento Baseado em Ações</t>
  </si>
  <si>
    <t>Share-based Payments Expense</t>
  </si>
  <si>
    <t>Losses on Disposal of Fixed Assets and Inv.</t>
  </si>
  <si>
    <t>Equivalência Patrimonial</t>
  </si>
  <si>
    <t>Provisão (Reversão) para Contingências</t>
  </si>
  <si>
    <t>Provision for Contingencies, Net of Reversals</t>
  </si>
  <si>
    <t>Provisão (Reversão) de outras Obrig. e Outros</t>
  </si>
  <si>
    <t>Provision (Reversal) for Other Obligations</t>
  </si>
  <si>
    <t>Juros e Variação Cambiais e Monetárias Líquidas</t>
  </si>
  <si>
    <t>Net Interest, Monetary and Exchange Variations</t>
  </si>
  <si>
    <t>Variação em ativos e passivos operacionais:</t>
  </si>
  <si>
    <t>Changes in operating assets and liabilities:</t>
  </si>
  <si>
    <t>Impostos a Recuperar</t>
  </si>
  <si>
    <t>Other Assets</t>
  </si>
  <si>
    <t>Impostos a Pagar</t>
  </si>
  <si>
    <t>Taxes and Contributions Payable</t>
  </si>
  <si>
    <t>Business Partners Payable</t>
  </si>
  <si>
    <t>Outras Contas a Pagar</t>
  </si>
  <si>
    <t>Other Accounts Payable</t>
  </si>
  <si>
    <t>Geração Operacional de Caixa</t>
  </si>
  <si>
    <t>Operating Cash Generation</t>
  </si>
  <si>
    <t>Juros Pagos</t>
  </si>
  <si>
    <t>Interest paid</t>
  </si>
  <si>
    <t>IR e CSLL Pagos</t>
  </si>
  <si>
    <t>Tax Paid</t>
  </si>
  <si>
    <t>Caixa Líquido das Atividades Operacionais</t>
  </si>
  <si>
    <t>Net Cash from Operating Activities</t>
  </si>
  <si>
    <t>Fluxo de caixa proveniente de atividades em investimentos</t>
  </si>
  <si>
    <t>Investing activities cash flow</t>
  </si>
  <si>
    <t>Dividendos Recebidos</t>
  </si>
  <si>
    <t>Dividends Received</t>
  </si>
  <si>
    <t>-</t>
  </si>
  <si>
    <t>Aumento de Ativo Imobilizado</t>
  </si>
  <si>
    <t>Acquisitions of Prop. Plant and Equip.</t>
  </si>
  <si>
    <t>Aumento de Intangível</t>
  </si>
  <si>
    <t>Acquisition of Intangible Assets</t>
  </si>
  <si>
    <t>Mútuo com Franquias</t>
  </si>
  <si>
    <t>Franchises Loan</t>
  </si>
  <si>
    <t>Aquisição de Participação Societária</t>
  </si>
  <si>
    <t>Acquisition of Subsidiaries, Net of Cash</t>
  </si>
  <si>
    <t>Pag. de Obrig. por Aquisição de Invest.</t>
  </si>
  <si>
    <t>Payments from Acquisitions of Subsidiaries</t>
  </si>
  <si>
    <t>Venda (Aquisição) de Investimentos</t>
  </si>
  <si>
    <t>Proceeds from Sale of Subsid., Net of Cash</t>
  </si>
  <si>
    <t>Valor da Venda de Ativo Imobilizado</t>
  </si>
  <si>
    <t>Proceeds from Sale of Prop. Plant and Equip.</t>
  </si>
  <si>
    <t>Resgate (Investimento) Financeiros e Fundo CVC</t>
  </si>
  <si>
    <t>Financial and CVC Fund Rescue (Investment)</t>
  </si>
  <si>
    <t>Caixa Recebido (Investido) - Techfin</t>
  </si>
  <si>
    <t>Net cash Received (Invested) - Techfin</t>
  </si>
  <si>
    <t>Caixa Recebido (Investido) - RJ</t>
  </si>
  <si>
    <t>Net cash Received (Invested) - RJ</t>
  </si>
  <si>
    <t>Fluxo de caixa proveniente de atividades de financiamento</t>
  </si>
  <si>
    <t>Financing activities cash flow</t>
  </si>
  <si>
    <t>Pag. de Principal de Emp. e Financ.</t>
  </si>
  <si>
    <t>Payment of Princ. of Loans and Financing</t>
  </si>
  <si>
    <t>Pag. de Principal de Debêntures</t>
  </si>
  <si>
    <t>Payment of Principal of Debentures</t>
  </si>
  <si>
    <t>Pag. de Parcelas de Arrend. Mercantil</t>
  </si>
  <si>
    <t>Payment of Principal of Lease Liabilities</t>
  </si>
  <si>
    <t>Captação de Debên e Empr. e Fin.</t>
  </si>
  <si>
    <t>Proceeds from debentures, loans and finan.</t>
  </si>
  <si>
    <t>Aumento de Capital Líquido de Gastos</t>
  </si>
  <si>
    <t>Capital Increase, Net of Expenses</t>
  </si>
  <si>
    <t>Investimento de não controladores</t>
  </si>
  <si>
    <t>Investments from Non-controlling Interest</t>
  </si>
  <si>
    <t>Gastos com emissão de ações</t>
  </si>
  <si>
    <t>Share Issue Expenses</t>
  </si>
  <si>
    <t>Receivables from Related Companies</t>
  </si>
  <si>
    <t>Dividendos e JCP Pago</t>
  </si>
  <si>
    <t>Dividends and Interest on Equity Paid</t>
  </si>
  <si>
    <t>Ações em Tesouraria, Líquidas</t>
  </si>
  <si>
    <t>Net Treasury Shares</t>
  </si>
  <si>
    <t>Net cash used in financing activities</t>
  </si>
  <si>
    <t>Aumentodas disponibilidades</t>
  </si>
  <si>
    <t>Increase (decrease) in cash and cash equivalents</t>
  </si>
  <si>
    <t>Caixa e equivalente de caixa no início do período</t>
  </si>
  <si>
    <t>Cash and cash equivalents at the beginning of the period</t>
  </si>
  <si>
    <t>Caixa e equivalente de caixa no fim do período</t>
  </si>
  <si>
    <t>Cash and cash equivalents at the end of the period</t>
  </si>
  <si>
    <t>Receita Aplicação Financeira Líq. Impostos</t>
  </si>
  <si>
    <t>Revenue from financial investment, net of Taxes</t>
  </si>
  <si>
    <t>Ajuste IR e CSLL Pagos s/ Alienação JV Techfin</t>
  </si>
  <si>
    <t>Income Tax paid Adjust. w/ JV Techfin Alienation</t>
  </si>
  <si>
    <t>Fluxo de Caixa Livre da Empresa</t>
  </si>
  <si>
    <t>Free Cash Flow to Firm</t>
  </si>
  <si>
    <t>Demonstração de Resultados 
Trimestre (em R$ mil)</t>
  </si>
  <si>
    <t>Consolidated Income Statement
Quarter  (in R$ thousand)</t>
  </si>
  <si>
    <t>Receita de Techfin</t>
  </si>
  <si>
    <t>Techfin Net Revenue</t>
  </si>
  <si>
    <t>Custo de Funding</t>
  </si>
  <si>
    <t>Funding Cost</t>
  </si>
  <si>
    <t>Receita de Techfin Líquida de Funding</t>
  </si>
  <si>
    <t>Techfin Revenue - Net of funding</t>
  </si>
  <si>
    <t>Custos Operacionais</t>
  </si>
  <si>
    <t>Operational Costs</t>
  </si>
  <si>
    <t>Demais Despesas Operacionais</t>
  </si>
  <si>
    <t>Other Operating Expenses</t>
  </si>
  <si>
    <t>EBITDA Ajustado Techfin</t>
  </si>
  <si>
    <t>Techfin Adjusted EBITDA</t>
  </si>
  <si>
    <t>% EBITDA Ajustado Techfin</t>
  </si>
  <si>
    <t>% Techfin Adjusted EBITDA</t>
  </si>
  <si>
    <t>Imposto de Renda e Contrib. Social Ajustado</t>
  </si>
  <si>
    <t>Adjusted Income Tax and Social Contribution</t>
  </si>
  <si>
    <t>Lucro (Prejuízo) Ajustado da Techfin</t>
  </si>
  <si>
    <t>Adjusted Net Income (Loss) from Techfin</t>
  </si>
  <si>
    <t>% Lucro (Prejuízo) da Techfin</t>
  </si>
  <si>
    <t>% Net Income (Loss) from Techfin</t>
  </si>
  <si>
    <t>IR e CSLL (Itens Extraordinários)</t>
  </si>
  <si>
    <t>Taxes on Extraordinary Items</t>
  </si>
  <si>
    <t>Lucro (Prejuízo) da Dimensão Techfin</t>
  </si>
  <si>
    <t>Net Income (Loss) from Techfin Dimension</t>
  </si>
  <si>
    <t>% Lucro (Prejuízo) da Dimensão Techfin</t>
  </si>
  <si>
    <t>% Net Income (Loss) from Techfin Dimension</t>
  </si>
  <si>
    <t>Balanço Patrimonial Techfin (R$ mil)</t>
  </si>
  <si>
    <t>Techfin Balance Sheet (R$ thousand)</t>
  </si>
  <si>
    <t>Contas a Receber de Clientes Líquida</t>
  </si>
  <si>
    <t>Net Trade Receivables</t>
  </si>
  <si>
    <t>Empréstimos e Arrendamentos</t>
  </si>
  <si>
    <t>Loans and Leases</t>
  </si>
  <si>
    <t>Repasse para parceiros</t>
  </si>
  <si>
    <t>Transfer to partners</t>
  </si>
  <si>
    <t>Cotas seniores e mezaninos</t>
  </si>
  <si>
    <t>Senior and Mezzanine Quota</t>
  </si>
  <si>
    <t>Fluxo de Caixa Techfin (R$ mil)</t>
  </si>
  <si>
    <t>Techfin Cash Flow (R$ thousand)</t>
  </si>
  <si>
    <t xml:space="preserve">Remuneração dos cotistas seniores e mezaninos do FIDC </t>
  </si>
  <si>
    <t>Remuneration of FIDC senior and mezanine quotas</t>
  </si>
  <si>
    <t>Resgate (Investimento) Financeiro</t>
  </si>
  <si>
    <t>Financial Rescue (Investment)</t>
  </si>
  <si>
    <t>Caixa da Dim. Techfin</t>
  </si>
  <si>
    <t>Net cash in Techfin Dim.</t>
  </si>
  <si>
    <t>Resgate (Aplic.) de Cotas Seniores e Mezanino</t>
  </si>
  <si>
    <t>Red. (Aplic.) of Senior and Mezanine Quotas</t>
  </si>
  <si>
    <t>Caixa Investido na Dim. Techfin</t>
  </si>
  <si>
    <t>Net cash Invested in Techfin Dim.</t>
  </si>
  <si>
    <t>Aumento das disponibilidades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</si>
</sst>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00_-;\-* #,##0.00_-;_-* &quot;-&quot;??_-;_-@"/>
    <numFmt numFmtId="165" formatCode="0.0%"/>
    <numFmt numFmtId="166" formatCode="_(* #,##0.0_);_(* \(#,##0.0\);_(* &quot;-&quot;??.0_);_(@_)"/>
    <numFmt numFmtId="167" formatCode="_(* #,##0.0_);_(* \(#,##0.0\);_(* &quot;-&quot;??_);_(@_)"/>
    <numFmt numFmtId="168" formatCode="_(* #,##0_);_(* \(#,##0\);_(* &quot;-&quot;??_);_(@_)"/>
    <numFmt numFmtId="169" formatCode="_-* #,##0_-;\-* #,##0_-;_-* &quot;-&quot;_-;_-@"/>
    <numFmt numFmtId="170" formatCode="#,##0;\(#,##0\)"/>
  </numFmts>
  <fonts count="34">
    <font>
      <sz val="11.0"/>
      <color theme="1"/>
      <name val="Calibri"/>
      <scheme val="minor"/>
    </font>
    <font>
      <sz val="11.0"/>
      <color rgb="FF000000"/>
      <name val="Verdana"/>
    </font>
    <font>
      <b/>
      <sz val="30.0"/>
      <color rgb="FF000000"/>
      <name val="Verdana"/>
    </font>
    <font>
      <b/>
      <u/>
      <sz val="11.0"/>
      <color rgb="FF000000"/>
      <name val="Verdana"/>
    </font>
    <font>
      <sz val="11.0"/>
      <color theme="1"/>
      <name val="Calibri"/>
    </font>
    <font>
      <b/>
      <sz val="12.0"/>
      <color rgb="FF222222"/>
      <name val="Verdana"/>
    </font>
    <font>
      <b/>
      <sz val="11.0"/>
      <color rgb="FF222222"/>
      <name val="Verdana"/>
    </font>
    <font>
      <sz val="11.0"/>
      <color theme="1"/>
      <name val="Verdana"/>
    </font>
    <font>
      <i/>
      <sz val="11.0"/>
      <color theme="1"/>
      <name val="Verdana"/>
    </font>
    <font>
      <b/>
      <sz val="9.0"/>
      <color rgb="FFFFFFFF"/>
      <name val="Verdana"/>
    </font>
    <font>
      <b/>
      <i/>
      <sz val="9.0"/>
      <color rgb="FFFFFFFF"/>
      <name val="Verdana"/>
    </font>
    <font>
      <sz val="9.0"/>
      <color theme="1"/>
      <name val="Verdana"/>
    </font>
    <font>
      <b/>
      <sz val="9.0"/>
      <color theme="1"/>
      <name val="Verdana"/>
    </font>
    <font>
      <b/>
      <i/>
      <sz val="9.0"/>
      <color theme="1"/>
      <name val="Verdana"/>
    </font>
    <font>
      <i/>
      <sz val="9.0"/>
      <color theme="1"/>
      <name val="Verdana"/>
    </font>
    <font>
      <b/>
      <sz val="9.0"/>
      <color rgb="FF000000"/>
      <name val="Verdana"/>
    </font>
    <font>
      <b/>
      <i/>
      <sz val="9.0"/>
      <color rgb="FF000000"/>
      <name val="Verdana"/>
    </font>
    <font>
      <sz val="9.0"/>
      <color rgb="FF000000"/>
      <name val="Verdana"/>
    </font>
    <font>
      <sz val="8.0"/>
      <color theme="1"/>
      <name val="Verdana"/>
    </font>
    <font>
      <b/>
      <sz val="8.0"/>
      <color rgb="FFFFFFFF"/>
      <name val="Verdana"/>
    </font>
    <font>
      <b/>
      <i/>
      <sz val="8.0"/>
      <color rgb="FFFFFFFF"/>
      <name val="Verdana"/>
    </font>
    <font>
      <b/>
      <sz val="8.0"/>
      <color rgb="FF000000"/>
      <name val="Verdana"/>
    </font>
    <font>
      <b/>
      <i/>
      <sz val="8.0"/>
      <color rgb="FF000000"/>
      <name val="Verdana"/>
    </font>
    <font>
      <sz val="8.0"/>
      <color rgb="FF000000"/>
      <name val="Verdana"/>
    </font>
    <font>
      <b/>
      <sz val="8.0"/>
      <color theme="1"/>
      <name val="Verdana"/>
    </font>
    <font>
      <b/>
      <i/>
      <sz val="8.0"/>
      <color theme="1"/>
      <name val="Verdana"/>
    </font>
    <font>
      <i/>
      <sz val="8.0"/>
      <color theme="1"/>
      <name val="Verdana"/>
    </font>
    <font>
      <i/>
      <sz val="8.0"/>
      <color rgb="FF7F7F7F"/>
      <name val="Verdana"/>
    </font>
    <font>
      <b/>
      <i/>
      <sz val="8.0"/>
      <color rgb="FF7F7F7F"/>
      <name val="Verdana"/>
    </font>
    <font>
      <sz val="8.0"/>
      <color rgb="FF666666"/>
      <name val="Verdana"/>
    </font>
    <font>
      <i/>
      <sz val="8.0"/>
      <color rgb="FF666666"/>
      <name val="Verdana"/>
    </font>
    <font>
      <b/>
      <u/>
      <sz val="8.0"/>
      <color theme="1"/>
      <name val="Verdana"/>
    </font>
    <font>
      <b/>
      <i/>
      <u/>
      <sz val="8.0"/>
      <color theme="1"/>
      <name val="Verdana"/>
    </font>
    <font>
      <i/>
      <u/>
      <sz val="8.0"/>
      <color theme="1"/>
      <name val="Verdana"/>
    </font>
  </fonts>
  <fills count="8">
    <fill>
      <patternFill patternType="none"/>
    </fill>
    <fill>
      <patternFill patternType="lightGray"/>
    </fill>
    <fill>
      <patternFill patternType="solid">
        <fgColor rgb="FF363636"/>
        <bgColor rgb="FF363636"/>
      </patternFill>
    </fill>
    <fill>
      <patternFill patternType="solid">
        <fgColor rgb="FF262863"/>
        <bgColor rgb="FF262863"/>
      </patternFill>
    </fill>
    <fill>
      <patternFill patternType="solid">
        <fgColor rgb="FFCCCCCC"/>
        <bgColor rgb="FFCCCCCC"/>
      </patternFill>
    </fill>
    <fill>
      <patternFill patternType="solid">
        <fgColor rgb="FF00DBFF"/>
        <bgColor rgb="FF00DBFF"/>
      </patternFill>
    </fill>
    <fill>
      <patternFill patternType="solid">
        <fgColor rgb="FFA44DFF"/>
        <bgColor rgb="FFA44DFF"/>
      </patternFill>
    </fill>
    <fill>
      <patternFill patternType="solid">
        <fgColor rgb="FFFF8900"/>
        <bgColor rgb="FFFF8900"/>
      </patternFill>
    </fill>
  </fills>
  <borders count="2">
    <border/>
    <border>
      <left/>
      <right/>
      <top/>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vertical="top"/>
    </xf>
    <xf borderId="0" fillId="0" fontId="2" numFmtId="0" xfId="0" applyFont="1"/>
    <xf borderId="0" fillId="0" fontId="3" numFmtId="0" xfId="0" applyFont="1"/>
    <xf borderId="0" fillId="0" fontId="4" numFmtId="0" xfId="0" applyFont="1"/>
    <xf borderId="0" fillId="0" fontId="5" numFmtId="0" xfId="0" applyFont="1"/>
    <xf borderId="0" fillId="0" fontId="6" numFmtId="0" xfId="0" applyFont="1"/>
    <xf borderId="0" fillId="0" fontId="7" numFmtId="0" xfId="0" applyAlignment="1" applyFont="1">
      <alignment vertical="center"/>
    </xf>
    <xf borderId="0" fillId="0" fontId="8" numFmtId="0" xfId="0" applyAlignment="1" applyFont="1">
      <alignment vertical="center"/>
    </xf>
    <xf borderId="1" fillId="2" fontId="9" numFmtId="0" xfId="0" applyAlignment="1" applyBorder="1" applyFill="1" applyFont="1">
      <alignment shrinkToFit="0" vertical="center" wrapText="1"/>
    </xf>
    <xf borderId="1" fillId="2" fontId="10" numFmtId="0" xfId="0" applyAlignment="1" applyBorder="1" applyFont="1">
      <alignment shrinkToFit="0" vertical="center" wrapText="1"/>
    </xf>
    <xf borderId="1" fillId="2" fontId="9" numFmtId="164" xfId="0" applyAlignment="1" applyBorder="1" applyFont="1" applyNumberFormat="1">
      <alignment horizontal="center" shrinkToFit="0" vertical="center" wrapText="1"/>
    </xf>
    <xf borderId="0" fillId="0" fontId="11" numFmtId="0" xfId="0" applyAlignment="1" applyFont="1">
      <alignment vertical="center"/>
    </xf>
    <xf borderId="0" fillId="0" fontId="11" numFmtId="165" xfId="0" applyAlignment="1" applyFont="1" applyNumberFormat="1">
      <alignment vertical="center"/>
    </xf>
    <xf borderId="1" fillId="3" fontId="9" numFmtId="0" xfId="0" applyAlignment="1" applyBorder="1" applyFill="1" applyFont="1">
      <alignment shrinkToFit="0" vertical="center" wrapText="1"/>
    </xf>
    <xf borderId="1" fillId="3" fontId="10" numFmtId="0" xfId="0" applyAlignment="1" applyBorder="1" applyFont="1">
      <alignment shrinkToFit="0" vertical="center" wrapText="1"/>
    </xf>
    <xf borderId="1" fillId="3" fontId="9" numFmtId="164" xfId="0" applyAlignment="1" applyBorder="1" applyFont="1" applyNumberFormat="1">
      <alignment horizontal="center" shrinkToFit="0" vertical="center" wrapText="1"/>
    </xf>
    <xf borderId="1" fillId="4" fontId="12" numFmtId="0" xfId="0" applyAlignment="1" applyBorder="1" applyFill="1" applyFont="1">
      <alignment vertical="center"/>
    </xf>
    <xf borderId="1" fillId="4" fontId="13" numFmtId="0" xfId="0" applyAlignment="1" applyBorder="1" applyFont="1">
      <alignment vertical="center"/>
    </xf>
    <xf borderId="1" fillId="4" fontId="12" numFmtId="166" xfId="0" applyAlignment="1" applyBorder="1" applyFont="1" applyNumberFormat="1">
      <alignment horizontal="right" vertical="center"/>
    </xf>
    <xf borderId="0" fillId="0" fontId="14" numFmtId="0" xfId="0" applyAlignment="1" applyFont="1">
      <alignment vertical="center"/>
    </xf>
    <xf borderId="0" fillId="0" fontId="11" numFmtId="166" xfId="0" applyAlignment="1" applyFont="1" applyNumberFormat="1">
      <alignment horizontal="right" vertical="center"/>
    </xf>
    <xf borderId="0" fillId="0" fontId="11" numFmtId="167" xfId="0" applyAlignment="1" applyFont="1" applyNumberFormat="1">
      <alignment horizontal="right" vertical="center"/>
    </xf>
    <xf borderId="1" fillId="5" fontId="15" numFmtId="0" xfId="0" applyAlignment="1" applyBorder="1" applyFill="1" applyFont="1">
      <alignment vertical="center"/>
    </xf>
    <xf borderId="1" fillId="5" fontId="16" numFmtId="0" xfId="0" applyAlignment="1" applyBorder="1" applyFont="1">
      <alignment vertical="center"/>
    </xf>
    <xf borderId="1" fillId="5" fontId="17" numFmtId="168" xfId="0" applyAlignment="1" applyBorder="1" applyFont="1" applyNumberFormat="1">
      <alignment vertical="center"/>
    </xf>
    <xf borderId="1" fillId="4" fontId="12" numFmtId="165" xfId="0" applyAlignment="1" applyBorder="1" applyFont="1" applyNumberFormat="1">
      <alignment horizontal="right" vertical="center"/>
    </xf>
    <xf borderId="1" fillId="6" fontId="9" numFmtId="0" xfId="0" applyAlignment="1" applyBorder="1" applyFill="1" applyFont="1">
      <alignment vertical="center"/>
    </xf>
    <xf borderId="1" fillId="6" fontId="10" numFmtId="0" xfId="0" applyAlignment="1" applyBorder="1" applyFont="1">
      <alignment vertical="center"/>
    </xf>
    <xf borderId="1" fillId="6" fontId="11" numFmtId="168" xfId="0" applyAlignment="1" applyBorder="1" applyFont="1" applyNumberFormat="1">
      <alignment vertical="center"/>
    </xf>
    <xf borderId="1" fillId="7" fontId="9" numFmtId="0" xfId="0" applyAlignment="1" applyBorder="1" applyFill="1" applyFont="1">
      <alignment vertical="center"/>
    </xf>
    <xf borderId="1" fillId="7" fontId="10" numFmtId="0" xfId="0" applyAlignment="1" applyBorder="1" applyFont="1">
      <alignment vertical="center"/>
    </xf>
    <xf borderId="1" fillId="7" fontId="11" numFmtId="168" xfId="0" applyAlignment="1" applyBorder="1" applyFont="1" applyNumberFormat="1">
      <alignment vertical="center"/>
    </xf>
    <xf borderId="0" fillId="0" fontId="12" numFmtId="0" xfId="0" applyAlignment="1" applyFont="1">
      <alignment vertical="center"/>
    </xf>
    <xf borderId="0" fillId="0" fontId="13" numFmtId="0" xfId="0" applyAlignment="1" applyFont="1">
      <alignment vertical="center"/>
    </xf>
    <xf borderId="0" fillId="0" fontId="12" numFmtId="166" xfId="0" applyAlignment="1" applyFont="1" applyNumberFormat="1">
      <alignment horizontal="right" vertical="center"/>
    </xf>
    <xf borderId="0" fillId="0" fontId="11" numFmtId="166" xfId="0" applyAlignment="1" applyFont="1" applyNumberFormat="1">
      <alignment vertical="center"/>
    </xf>
    <xf borderId="0" fillId="0" fontId="14" numFmtId="166" xfId="0" applyAlignment="1" applyFont="1" applyNumberFormat="1">
      <alignment vertical="center"/>
    </xf>
    <xf borderId="0" fillId="0" fontId="11" numFmtId="165" xfId="0" applyAlignment="1" applyFont="1" applyNumberFormat="1">
      <alignment horizontal="right" vertical="center"/>
    </xf>
    <xf borderId="0" fillId="0" fontId="18" numFmtId="165" xfId="0" applyAlignment="1" applyFont="1" applyNumberFormat="1">
      <alignment vertical="center"/>
    </xf>
    <xf borderId="0" fillId="0" fontId="18" numFmtId="0" xfId="0" applyAlignment="1" applyFont="1">
      <alignment vertical="center"/>
    </xf>
    <xf borderId="1" fillId="3" fontId="19" numFmtId="0" xfId="0" applyAlignment="1" applyBorder="1" applyFont="1">
      <alignment shrinkToFit="0" vertical="center" wrapText="1"/>
    </xf>
    <xf borderId="1" fillId="3" fontId="20" numFmtId="0" xfId="0" applyAlignment="1" applyBorder="1" applyFont="1">
      <alignment shrinkToFit="0" vertical="center" wrapText="1"/>
    </xf>
    <xf borderId="1" fillId="3" fontId="19" numFmtId="164" xfId="0" applyAlignment="1" applyBorder="1" applyFont="1" applyNumberFormat="1">
      <alignment horizontal="right" shrinkToFit="0" vertical="center" wrapText="1"/>
    </xf>
    <xf borderId="1" fillId="5" fontId="21" numFmtId="0" xfId="0" applyAlignment="1" applyBorder="1" applyFont="1">
      <alignment vertical="center"/>
    </xf>
    <xf borderId="1" fillId="5" fontId="22" numFmtId="0" xfId="0" applyAlignment="1" applyBorder="1" applyFont="1">
      <alignment vertical="center"/>
    </xf>
    <xf borderId="1" fillId="5" fontId="23" numFmtId="168" xfId="0" applyAlignment="1" applyBorder="1" applyFont="1" applyNumberFormat="1">
      <alignment vertical="center"/>
    </xf>
    <xf borderId="1" fillId="5" fontId="23" numFmtId="165" xfId="0" applyAlignment="1" applyBorder="1" applyFont="1" applyNumberFormat="1">
      <alignment vertical="center"/>
    </xf>
    <xf borderId="1" fillId="4" fontId="24" numFmtId="0" xfId="0" applyAlignment="1" applyBorder="1" applyFont="1">
      <alignment vertical="center"/>
    </xf>
    <xf borderId="1" fillId="4" fontId="25" numFmtId="0" xfId="0" applyAlignment="1" applyBorder="1" applyFont="1">
      <alignment vertical="center"/>
    </xf>
    <xf borderId="1" fillId="4" fontId="24" numFmtId="168" xfId="0" applyAlignment="1" applyBorder="1" applyFont="1" applyNumberFormat="1">
      <alignment horizontal="right" vertical="center"/>
    </xf>
    <xf borderId="0" fillId="0" fontId="26" numFmtId="0" xfId="0" applyAlignment="1" applyFont="1">
      <alignment vertical="center"/>
    </xf>
    <xf borderId="0" fillId="0" fontId="18" numFmtId="168" xfId="0" applyAlignment="1" applyFont="1" applyNumberFormat="1">
      <alignment horizontal="right" vertical="center"/>
    </xf>
    <xf borderId="0" fillId="0" fontId="27" numFmtId="0" xfId="0" applyAlignment="1" applyFont="1">
      <alignment vertical="center"/>
    </xf>
    <xf borderId="0" fillId="0" fontId="27" numFmtId="165" xfId="0" applyAlignment="1" applyFont="1" applyNumberFormat="1">
      <alignment horizontal="right" vertical="center"/>
    </xf>
    <xf borderId="0" fillId="0" fontId="24" numFmtId="0" xfId="0" applyAlignment="1" applyFont="1">
      <alignment vertical="center"/>
    </xf>
    <xf borderId="0" fillId="0" fontId="25" numFmtId="0" xfId="0" applyAlignment="1" applyFont="1">
      <alignment vertical="center"/>
    </xf>
    <xf borderId="0" fillId="0" fontId="24" numFmtId="168" xfId="0" applyAlignment="1" applyFont="1" applyNumberFormat="1">
      <alignment horizontal="right" vertical="center"/>
    </xf>
    <xf borderId="0" fillId="0" fontId="18" numFmtId="165" xfId="0" applyAlignment="1" applyFont="1" applyNumberFormat="1">
      <alignment horizontal="right" vertical="center"/>
    </xf>
    <xf borderId="1" fillId="6" fontId="19" numFmtId="0" xfId="0" applyAlignment="1" applyBorder="1" applyFont="1">
      <alignment vertical="center"/>
    </xf>
    <xf borderId="1" fillId="6" fontId="20" numFmtId="0" xfId="0" applyAlignment="1" applyBorder="1" applyFont="1">
      <alignment vertical="center"/>
    </xf>
    <xf borderId="1" fillId="6" fontId="18" numFmtId="168" xfId="0" applyAlignment="1" applyBorder="1" applyFont="1" applyNumberFormat="1">
      <alignment vertical="center"/>
    </xf>
    <xf borderId="1" fillId="6" fontId="18" numFmtId="165" xfId="0" applyAlignment="1" applyBorder="1" applyFont="1" applyNumberFormat="1">
      <alignment vertical="center"/>
    </xf>
    <xf borderId="1" fillId="3" fontId="19" numFmtId="0" xfId="0" applyAlignment="1" applyBorder="1" applyFont="1">
      <alignment vertical="center"/>
    </xf>
    <xf borderId="1" fillId="3" fontId="20" numFmtId="0" xfId="0" applyAlignment="1" applyBorder="1" applyFont="1">
      <alignment vertical="center"/>
    </xf>
    <xf borderId="1" fillId="3" fontId="18" numFmtId="168" xfId="0" applyAlignment="1" applyBorder="1" applyFont="1" applyNumberFormat="1">
      <alignment vertical="center"/>
    </xf>
    <xf borderId="0" fillId="0" fontId="28" numFmtId="0" xfId="0" applyAlignment="1" applyFont="1">
      <alignment vertical="center"/>
    </xf>
    <xf borderId="0" fillId="0" fontId="28" numFmtId="165" xfId="0" applyAlignment="1" applyFont="1" applyNumberFormat="1">
      <alignment horizontal="right" vertical="center"/>
    </xf>
    <xf borderId="0" fillId="0" fontId="18" numFmtId="3" xfId="0" applyAlignment="1" applyFont="1" applyNumberFormat="1">
      <alignment vertical="center"/>
    </xf>
    <xf borderId="0" fillId="0" fontId="18" numFmtId="168" xfId="0" applyAlignment="1" applyFont="1" applyNumberFormat="1">
      <alignment vertical="center"/>
    </xf>
    <xf borderId="0" fillId="0" fontId="15" numFmtId="168" xfId="0" applyAlignment="1" applyFont="1" applyNumberFormat="1">
      <alignment horizontal="right"/>
    </xf>
    <xf borderId="0" fillId="0" fontId="24" numFmtId="168" xfId="0" applyAlignment="1" applyFont="1" applyNumberFormat="1">
      <alignment vertical="center"/>
    </xf>
    <xf borderId="0" fillId="0" fontId="29" numFmtId="0" xfId="0" applyAlignment="1" applyFont="1">
      <alignment vertical="center"/>
    </xf>
    <xf borderId="0" fillId="0" fontId="30" numFmtId="0" xfId="0" applyAlignment="1" applyFont="1">
      <alignment vertical="center"/>
    </xf>
    <xf borderId="0" fillId="0" fontId="29" numFmtId="168" xfId="0" applyAlignment="1" applyFont="1" applyNumberFormat="1">
      <alignment horizontal="right" vertical="center"/>
    </xf>
    <xf borderId="0" fillId="0" fontId="18" numFmtId="3" xfId="0" applyAlignment="1" applyFont="1" applyNumberFormat="1">
      <alignment horizontal="right" vertical="center"/>
    </xf>
    <xf borderId="1" fillId="3" fontId="19" numFmtId="164" xfId="0" applyAlignment="1" applyBorder="1" applyFont="1" applyNumberFormat="1">
      <alignment horizontal="center" shrinkToFit="0" vertical="center" wrapText="1"/>
    </xf>
    <xf borderId="0" fillId="0" fontId="18" numFmtId="14" xfId="0" applyAlignment="1" applyFont="1" applyNumberFormat="1">
      <alignment vertical="center"/>
    </xf>
    <xf borderId="0" fillId="0" fontId="24" numFmtId="0" xfId="0" applyAlignment="1" applyFont="1">
      <alignment shrinkToFit="0" vertical="center" wrapText="1"/>
    </xf>
    <xf borderId="0" fillId="0" fontId="25" numFmtId="0" xfId="0" applyAlignment="1" applyFont="1">
      <alignment shrinkToFit="0" vertical="center" wrapText="1"/>
    </xf>
    <xf borderId="0" fillId="0" fontId="24" numFmtId="169" xfId="0" applyAlignment="1" applyFont="1" applyNumberFormat="1">
      <alignment horizontal="right" vertical="center"/>
    </xf>
    <xf borderId="0" fillId="0" fontId="18" numFmtId="0" xfId="0" applyAlignment="1" applyFont="1">
      <alignment shrinkToFit="0" vertical="center" wrapText="1"/>
    </xf>
    <xf borderId="0" fillId="0" fontId="26" numFmtId="0" xfId="0" applyAlignment="1" applyFont="1">
      <alignment shrinkToFit="0" vertical="center" wrapText="1"/>
    </xf>
    <xf borderId="0" fillId="0" fontId="18" numFmtId="169" xfId="0" applyAlignment="1" applyFont="1" applyNumberFormat="1">
      <alignment vertical="center"/>
    </xf>
    <xf borderId="0" fillId="0" fontId="18" numFmtId="169" xfId="0" applyAlignment="1" applyFont="1" applyNumberFormat="1">
      <alignment horizontal="right" vertical="center"/>
    </xf>
    <xf borderId="0" fillId="0" fontId="31" numFmtId="0" xfId="0" applyAlignment="1" applyFont="1">
      <alignment vertical="center"/>
    </xf>
    <xf borderId="0" fillId="0" fontId="32" numFmtId="0" xfId="0" applyAlignment="1" applyFont="1">
      <alignment vertical="center"/>
    </xf>
    <xf borderId="0" fillId="0" fontId="33" numFmtId="0" xfId="0" applyAlignment="1" applyFont="1">
      <alignment vertical="center"/>
    </xf>
    <xf borderId="1" fillId="7" fontId="19" numFmtId="0" xfId="0" applyAlignment="1" applyBorder="1" applyFont="1">
      <alignment shrinkToFit="0" vertical="center" wrapText="1"/>
    </xf>
    <xf borderId="1" fillId="7" fontId="20" numFmtId="0" xfId="0" applyAlignment="1" applyBorder="1" applyFont="1">
      <alignment shrinkToFit="0" vertical="center" wrapText="1"/>
    </xf>
    <xf borderId="1" fillId="7" fontId="19" numFmtId="164" xfId="0" applyAlignment="1" applyBorder="1" applyFont="1" applyNumberFormat="1">
      <alignment horizontal="right" shrinkToFit="0" vertical="center" wrapText="1"/>
    </xf>
    <xf borderId="1" fillId="7" fontId="19" numFmtId="168" xfId="0" applyAlignment="1" applyBorder="1" applyFont="1" applyNumberFormat="1">
      <alignment vertical="center"/>
    </xf>
    <xf borderId="1" fillId="7" fontId="20" numFmtId="168" xfId="0" applyAlignment="1" applyBorder="1" applyFont="1" applyNumberFormat="1">
      <alignment vertical="center"/>
    </xf>
    <xf borderId="1" fillId="7" fontId="19" numFmtId="168" xfId="0" applyAlignment="1" applyBorder="1" applyFont="1" applyNumberFormat="1">
      <alignment horizontal="center" vertical="center"/>
    </xf>
    <xf borderId="0" fillId="0" fontId="18" numFmtId="168" xfId="0" applyAlignment="1" applyFont="1" applyNumberFormat="1">
      <alignment horizontal="right" readingOrder="0" vertical="center"/>
    </xf>
    <xf borderId="0" fillId="0" fontId="24" numFmtId="170" xfId="0" applyAlignment="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57150</xdr:rowOff>
    </xdr:from>
    <xdr:ext cx="2514600" cy="6953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outlinePr summaryBelow="0" summaryRight="0"/>
    <pageSetUpPr/>
  </sheetPr>
  <sheetViews>
    <sheetView showGridLines="0" workbookViewId="0"/>
  </sheetViews>
  <sheetFormatPr customHeight="1" defaultColWidth="14.43" defaultRowHeight="15.0"/>
  <cols>
    <col customWidth="1" min="1" max="22" width="14.43"/>
  </cols>
  <sheetData>
    <row r="1">
      <c r="A1" s="1"/>
      <c r="B1" s="1"/>
      <c r="C1" s="1"/>
      <c r="D1" s="1"/>
      <c r="E1" s="1"/>
      <c r="F1" s="1"/>
      <c r="G1" s="1"/>
      <c r="H1" s="1"/>
      <c r="I1" s="1"/>
      <c r="J1" s="1"/>
      <c r="K1" s="1"/>
      <c r="L1" s="1"/>
      <c r="M1" s="1"/>
      <c r="N1" s="1"/>
      <c r="O1" s="1"/>
      <c r="P1" s="1"/>
      <c r="Q1" s="1"/>
      <c r="R1" s="1"/>
      <c r="S1" s="1"/>
      <c r="T1" s="1"/>
      <c r="U1" s="1"/>
      <c r="V1" s="1"/>
      <c r="W1" s="1"/>
      <c r="X1" s="1"/>
      <c r="Y1" s="1"/>
      <c r="Z1" s="1"/>
    </row>
    <row r="2">
      <c r="A2" s="2"/>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3" t="s">
        <v>0</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4" t="s">
        <v>1</v>
      </c>
      <c r="D8" s="1"/>
      <c r="E8" s="1"/>
      <c r="F8" s="1"/>
      <c r="G8" s="1"/>
      <c r="H8" s="1"/>
      <c r="I8" s="1"/>
      <c r="J8" s="1"/>
      <c r="K8" s="1"/>
      <c r="L8" s="1"/>
      <c r="M8" s="1"/>
      <c r="N8" s="1"/>
      <c r="O8" s="1"/>
      <c r="P8" s="1"/>
      <c r="Q8" s="1"/>
      <c r="R8" s="1"/>
      <c r="S8" s="1"/>
      <c r="T8" s="1"/>
      <c r="U8" s="1"/>
      <c r="V8" s="1"/>
      <c r="W8" s="1"/>
      <c r="X8" s="1"/>
      <c r="Y8" s="1"/>
      <c r="Z8" s="1"/>
    </row>
    <row r="9">
      <c r="A9" s="1"/>
      <c r="B9" s="1" t="s">
        <v>2</v>
      </c>
      <c r="P9" s="1"/>
      <c r="Q9" s="1"/>
      <c r="R9" s="1"/>
      <c r="S9" s="1"/>
      <c r="T9" s="1"/>
      <c r="U9" s="1"/>
      <c r="V9" s="1"/>
      <c r="W9" s="1"/>
      <c r="X9" s="1"/>
      <c r="Y9" s="1"/>
      <c r="Z9" s="1"/>
    </row>
    <row r="10">
      <c r="A10" s="1"/>
      <c r="B10" s="1" t="s">
        <v>3</v>
      </c>
      <c r="J10" s="1"/>
      <c r="K10" s="1"/>
      <c r="L10" s="1"/>
      <c r="M10" s="1"/>
      <c r="N10" s="1"/>
      <c r="O10" s="1"/>
      <c r="P10" s="1"/>
      <c r="Q10" s="1"/>
      <c r="R10" s="1"/>
      <c r="S10" s="1"/>
      <c r="T10" s="1"/>
      <c r="U10" s="1"/>
      <c r="V10" s="1"/>
      <c r="W10" s="1"/>
      <c r="X10" s="1"/>
      <c r="Y10" s="1"/>
      <c r="Z10" s="1"/>
    </row>
    <row r="11">
      <c r="A11" s="1"/>
      <c r="B11" s="1" t="s">
        <v>4</v>
      </c>
      <c r="N11" s="1"/>
      <c r="O11" s="1"/>
      <c r="P11" s="1"/>
      <c r="Q11" s="1"/>
      <c r="R11" s="1"/>
      <c r="S11" s="1"/>
      <c r="T11" s="1"/>
      <c r="U11" s="1"/>
      <c r="V11" s="1"/>
      <c r="W11" s="1"/>
      <c r="X11" s="1"/>
      <c r="Y11" s="1"/>
      <c r="Z11" s="1"/>
    </row>
    <row r="12">
      <c r="A12" s="1"/>
      <c r="B12" s="1" t="s">
        <v>5</v>
      </c>
      <c r="M12" s="1"/>
      <c r="N12" s="1"/>
      <c r="O12" s="1"/>
      <c r="P12" s="1"/>
      <c r="Q12" s="1"/>
      <c r="R12" s="1"/>
      <c r="S12" s="1"/>
      <c r="T12" s="1"/>
      <c r="U12" s="1"/>
      <c r="V12" s="1"/>
      <c r="W12" s="1"/>
      <c r="X12" s="1"/>
      <c r="Y12" s="1"/>
      <c r="Z12" s="1"/>
    </row>
    <row r="13">
      <c r="A13" s="1"/>
      <c r="B13" s="1" t="s">
        <v>6</v>
      </c>
      <c r="P13" s="1"/>
      <c r="Q13" s="1"/>
      <c r="R13" s="1"/>
      <c r="S13" s="1"/>
      <c r="T13" s="1"/>
      <c r="U13" s="1"/>
      <c r="V13" s="1"/>
      <c r="W13" s="1"/>
      <c r="X13" s="1"/>
      <c r="Y13" s="1"/>
      <c r="Z13" s="1"/>
    </row>
    <row r="14">
      <c r="A14" s="1"/>
      <c r="B14" s="1" t="s">
        <v>7</v>
      </c>
      <c r="O14" s="1"/>
      <c r="P14" s="1"/>
      <c r="Q14" s="1"/>
      <c r="R14" s="1"/>
      <c r="S14" s="1"/>
      <c r="T14" s="1"/>
      <c r="U14" s="1"/>
      <c r="V14" s="1"/>
      <c r="W14" s="1"/>
      <c r="X14" s="1"/>
      <c r="Y14" s="1"/>
      <c r="Z14" s="1"/>
    </row>
    <row r="15">
      <c r="A15" s="1"/>
      <c r="B15" s="1" t="s">
        <v>8</v>
      </c>
      <c r="P15" s="1"/>
      <c r="Q15" s="1"/>
      <c r="R15" s="1"/>
      <c r="S15" s="1"/>
      <c r="T15" s="1"/>
      <c r="U15" s="1"/>
      <c r="V15" s="1"/>
      <c r="W15" s="1"/>
      <c r="X15" s="1"/>
      <c r="Y15" s="1"/>
      <c r="Z15" s="1"/>
    </row>
    <row r="16">
      <c r="A16" s="1"/>
      <c r="B16" s="1" t="s">
        <v>9</v>
      </c>
      <c r="O16" s="1"/>
      <c r="P16" s="1"/>
      <c r="Q16" s="1"/>
      <c r="R16" s="1"/>
      <c r="S16" s="1"/>
      <c r="T16" s="1"/>
      <c r="U16" s="1"/>
      <c r="V16" s="1"/>
      <c r="W16" s="1"/>
      <c r="X16" s="1"/>
      <c r="Y16" s="1"/>
      <c r="Z16" s="1"/>
    </row>
    <row r="17">
      <c r="A17" s="1"/>
      <c r="B17" s="1" t="s">
        <v>10</v>
      </c>
      <c r="W17" s="5"/>
      <c r="X17" s="5"/>
      <c r="Y17" s="5"/>
      <c r="Z17" s="5"/>
    </row>
    <row r="18">
      <c r="A18" s="1"/>
      <c r="B18" s="1" t="s">
        <v>11</v>
      </c>
      <c r="L18" s="1"/>
      <c r="M18" s="1"/>
      <c r="N18" s="1"/>
      <c r="O18" s="1"/>
      <c r="P18" s="1"/>
      <c r="Q18" s="1"/>
      <c r="R18" s="1"/>
      <c r="S18" s="1"/>
      <c r="T18" s="1"/>
      <c r="U18" s="1"/>
      <c r="V18" s="1"/>
      <c r="W18" s="1"/>
      <c r="X18" s="1"/>
      <c r="Y18" s="1"/>
      <c r="Z18" s="1"/>
    </row>
    <row r="19">
      <c r="A19" s="1"/>
      <c r="B19" s="1" t="s">
        <v>12</v>
      </c>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4" t="s">
        <v>13</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14</v>
      </c>
      <c r="O22" s="1"/>
      <c r="P22" s="1"/>
      <c r="Q22" s="1"/>
      <c r="R22" s="1"/>
      <c r="S22" s="1"/>
      <c r="T22" s="1"/>
      <c r="U22" s="1"/>
      <c r="V22" s="1"/>
      <c r="W22" s="1"/>
      <c r="X22" s="1"/>
      <c r="Y22" s="1"/>
      <c r="Z22" s="1"/>
    </row>
    <row r="23" ht="15.75" customHeight="1">
      <c r="A23" s="1"/>
      <c r="B23" s="1" t="s">
        <v>15</v>
      </c>
      <c r="J23" s="1"/>
      <c r="K23" s="1"/>
      <c r="L23" s="1"/>
      <c r="M23" s="1"/>
      <c r="N23" s="1"/>
      <c r="O23" s="1"/>
      <c r="P23" s="1"/>
      <c r="Q23" s="1"/>
      <c r="R23" s="1"/>
      <c r="S23" s="1"/>
      <c r="T23" s="1"/>
      <c r="U23" s="1"/>
      <c r="V23" s="1"/>
      <c r="W23" s="1"/>
      <c r="X23" s="1"/>
      <c r="Y23" s="1"/>
      <c r="Z23" s="1"/>
    </row>
    <row r="24" ht="15.75" customHeight="1">
      <c r="A24" s="1"/>
      <c r="B24" s="1" t="s">
        <v>16</v>
      </c>
      <c r="N24" s="1"/>
      <c r="O24" s="1"/>
      <c r="P24" s="1"/>
      <c r="Q24" s="1"/>
      <c r="R24" s="1"/>
      <c r="S24" s="1"/>
      <c r="T24" s="1"/>
      <c r="U24" s="1"/>
      <c r="V24" s="1"/>
      <c r="W24" s="1"/>
      <c r="X24" s="1"/>
      <c r="Y24" s="1"/>
      <c r="Z24" s="1"/>
    </row>
    <row r="25" ht="15.75" customHeight="1">
      <c r="A25" s="1"/>
      <c r="B25" s="1" t="s">
        <v>17</v>
      </c>
      <c r="N25" s="1"/>
      <c r="O25" s="1"/>
      <c r="P25" s="1"/>
      <c r="Q25" s="1"/>
      <c r="R25" s="1"/>
      <c r="S25" s="1"/>
      <c r="T25" s="1"/>
      <c r="U25" s="1"/>
      <c r="V25" s="1"/>
      <c r="W25" s="1"/>
      <c r="X25" s="1"/>
      <c r="Y25" s="1"/>
      <c r="Z25" s="1"/>
    </row>
    <row r="26" ht="15.75" customHeight="1">
      <c r="A26" s="1"/>
      <c r="B26" s="1" t="s">
        <v>18</v>
      </c>
      <c r="O26" s="1"/>
      <c r="P26" s="1"/>
      <c r="Q26" s="1"/>
      <c r="R26" s="1"/>
      <c r="S26" s="1"/>
      <c r="T26" s="1"/>
      <c r="U26" s="1"/>
      <c r="V26" s="1"/>
      <c r="W26" s="1"/>
      <c r="X26" s="1"/>
      <c r="Y26" s="1"/>
      <c r="Z26" s="1"/>
    </row>
    <row r="27" ht="15.75" customHeight="1">
      <c r="A27" s="1"/>
      <c r="B27" s="1" t="s">
        <v>19</v>
      </c>
      <c r="L27" s="1"/>
      <c r="M27" s="1"/>
      <c r="N27" s="1"/>
      <c r="O27" s="1"/>
      <c r="P27" s="1"/>
      <c r="Q27" s="1"/>
      <c r="R27" s="1"/>
      <c r="S27" s="1"/>
      <c r="T27" s="1"/>
      <c r="U27" s="1"/>
      <c r="V27" s="1"/>
      <c r="W27" s="1"/>
      <c r="X27" s="1"/>
      <c r="Y27" s="1"/>
      <c r="Z27" s="1"/>
    </row>
    <row r="28" ht="15.75" customHeight="1">
      <c r="A28" s="1"/>
      <c r="B28" s="1" t="s">
        <v>20</v>
      </c>
      <c r="O28" s="1"/>
      <c r="P28" s="1"/>
      <c r="Q28" s="1"/>
      <c r="R28" s="1"/>
      <c r="S28" s="1"/>
      <c r="T28" s="1"/>
      <c r="U28" s="1"/>
      <c r="V28" s="1"/>
      <c r="W28" s="1"/>
      <c r="X28" s="1"/>
      <c r="Y28" s="1"/>
      <c r="Z28" s="1"/>
    </row>
    <row r="29" ht="15.75" customHeight="1">
      <c r="A29" s="1"/>
      <c r="B29" s="1" t="s">
        <v>21</v>
      </c>
      <c r="M29" s="1"/>
      <c r="N29" s="1"/>
      <c r="O29" s="1"/>
      <c r="P29" s="1"/>
      <c r="Q29" s="1"/>
      <c r="R29" s="1"/>
      <c r="S29" s="1"/>
      <c r="T29" s="1"/>
      <c r="U29" s="1"/>
      <c r="V29" s="1"/>
      <c r="W29" s="1"/>
      <c r="X29" s="1"/>
      <c r="Y29" s="1"/>
      <c r="Z29" s="1"/>
    </row>
    <row r="30" ht="15.75" customHeight="1">
      <c r="A30" s="1"/>
      <c r="B30" s="1" t="s">
        <v>22</v>
      </c>
      <c r="W30" s="5"/>
      <c r="X30" s="5"/>
      <c r="Y30" s="5"/>
      <c r="Z30" s="5"/>
    </row>
    <row r="31" ht="15.75" customHeight="1">
      <c r="A31" s="1"/>
      <c r="B31" s="1" t="s">
        <v>23</v>
      </c>
      <c r="L31" s="1"/>
      <c r="M31" s="1"/>
      <c r="N31" s="1"/>
      <c r="O31" s="1"/>
      <c r="P31" s="1"/>
      <c r="Q31" s="1"/>
      <c r="R31" s="1"/>
      <c r="S31" s="1"/>
      <c r="T31" s="1"/>
      <c r="U31" s="1"/>
      <c r="V31" s="1"/>
      <c r="W31" s="1"/>
      <c r="X31" s="1"/>
      <c r="Y31" s="1"/>
      <c r="Z31" s="1"/>
    </row>
    <row r="32" ht="15.75" customHeight="1">
      <c r="A32" s="1"/>
      <c r="B32" s="1" t="s">
        <v>24</v>
      </c>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6"/>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6"/>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6"/>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7"/>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7"/>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7"/>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3">
    <mergeCell ref="B8:C8"/>
    <mergeCell ref="B9:O9"/>
    <mergeCell ref="B10:I10"/>
    <mergeCell ref="B11:M11"/>
    <mergeCell ref="B12:L12"/>
    <mergeCell ref="B13:O13"/>
    <mergeCell ref="B14:N14"/>
    <mergeCell ref="B15:O15"/>
    <mergeCell ref="B16:N16"/>
    <mergeCell ref="B17:V17"/>
    <mergeCell ref="B18:K18"/>
    <mergeCell ref="B19:O19"/>
    <mergeCell ref="B22:N22"/>
    <mergeCell ref="B23:I23"/>
    <mergeCell ref="B31:K31"/>
    <mergeCell ref="B32:N32"/>
    <mergeCell ref="B24:M24"/>
    <mergeCell ref="B25:M25"/>
    <mergeCell ref="B26:N26"/>
    <mergeCell ref="B27:K27"/>
    <mergeCell ref="B28:N28"/>
    <mergeCell ref="B29:L29"/>
    <mergeCell ref="B30:V30"/>
  </mergeCells>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 width="36.14"/>
    <col customWidth="1" min="3" max="21" width="14.43"/>
  </cols>
  <sheetData>
    <row r="1">
      <c r="A1" s="8" t="s">
        <v>25</v>
      </c>
      <c r="B1" s="9" t="s">
        <v>26</v>
      </c>
      <c r="C1" s="8"/>
      <c r="D1" s="8"/>
      <c r="E1" s="8"/>
      <c r="F1" s="8"/>
      <c r="G1" s="8"/>
      <c r="H1" s="8"/>
      <c r="I1" s="8"/>
      <c r="J1" s="8"/>
      <c r="K1" s="8"/>
      <c r="L1" s="8"/>
      <c r="M1" s="8"/>
      <c r="N1" s="8"/>
      <c r="O1" s="8"/>
      <c r="P1" s="8"/>
      <c r="Q1" s="8"/>
      <c r="R1" s="8"/>
      <c r="S1" s="8"/>
      <c r="T1" s="8"/>
      <c r="U1" s="8"/>
      <c r="V1" s="5"/>
      <c r="W1" s="5"/>
      <c r="X1" s="5"/>
      <c r="Y1" s="5"/>
      <c r="Z1" s="5"/>
    </row>
    <row r="2">
      <c r="A2" s="10" t="s">
        <v>27</v>
      </c>
      <c r="B2" s="11" t="s">
        <v>28</v>
      </c>
      <c r="C2" s="12" t="s">
        <v>29</v>
      </c>
      <c r="D2" s="12" t="s">
        <v>30</v>
      </c>
      <c r="E2" s="12" t="s">
        <v>31</v>
      </c>
      <c r="F2" s="12" t="s">
        <v>32</v>
      </c>
      <c r="G2" s="12" t="s">
        <v>33</v>
      </c>
      <c r="H2" s="12" t="s">
        <v>34</v>
      </c>
      <c r="I2" s="12" t="s">
        <v>35</v>
      </c>
      <c r="J2" s="12" t="s">
        <v>36</v>
      </c>
      <c r="K2" s="12" t="s">
        <v>37</v>
      </c>
      <c r="L2" s="12" t="s">
        <v>38</v>
      </c>
      <c r="M2" s="12" t="s">
        <v>39</v>
      </c>
      <c r="N2" s="12" t="s">
        <v>40</v>
      </c>
      <c r="O2" s="12" t="s">
        <v>41</v>
      </c>
      <c r="P2" s="12" t="s">
        <v>42</v>
      </c>
      <c r="Q2" s="12" t="s">
        <v>43</v>
      </c>
      <c r="R2" s="12" t="s">
        <v>44</v>
      </c>
      <c r="S2" s="12" t="s">
        <v>45</v>
      </c>
      <c r="T2" s="12" t="s">
        <v>46</v>
      </c>
      <c r="U2" s="12" t="s">
        <v>47</v>
      </c>
      <c r="V2" s="5"/>
      <c r="W2" s="5"/>
      <c r="X2" s="5"/>
      <c r="Y2" s="5"/>
      <c r="Z2" s="5"/>
    </row>
    <row r="3">
      <c r="A3" s="13"/>
      <c r="B3" s="13"/>
      <c r="C3" s="14"/>
      <c r="D3" s="14"/>
      <c r="E3" s="14"/>
      <c r="F3" s="14"/>
      <c r="G3" s="14"/>
      <c r="H3" s="14"/>
      <c r="I3" s="14"/>
      <c r="J3" s="14"/>
      <c r="K3" s="14"/>
      <c r="L3" s="14"/>
      <c r="M3" s="14"/>
      <c r="N3" s="14"/>
      <c r="O3" s="14"/>
      <c r="P3" s="14"/>
      <c r="Q3" s="14"/>
      <c r="R3" s="14"/>
      <c r="S3" s="14"/>
      <c r="T3" s="14"/>
      <c r="U3" s="14"/>
      <c r="V3" s="5"/>
      <c r="W3" s="5"/>
      <c r="X3" s="5"/>
      <c r="Y3" s="5"/>
      <c r="Z3" s="5"/>
    </row>
    <row r="4">
      <c r="A4" s="15" t="s">
        <v>48</v>
      </c>
      <c r="B4" s="16" t="s">
        <v>49</v>
      </c>
      <c r="C4" s="17"/>
      <c r="D4" s="17"/>
      <c r="E4" s="17"/>
      <c r="F4" s="17"/>
      <c r="G4" s="17"/>
      <c r="H4" s="17"/>
      <c r="I4" s="17"/>
      <c r="J4" s="17"/>
      <c r="K4" s="17"/>
      <c r="L4" s="17"/>
      <c r="M4" s="17"/>
      <c r="N4" s="17"/>
      <c r="O4" s="17"/>
      <c r="P4" s="17"/>
      <c r="Q4" s="17"/>
      <c r="R4" s="17"/>
      <c r="S4" s="17"/>
      <c r="T4" s="17"/>
      <c r="U4" s="17"/>
      <c r="V4" s="5"/>
      <c r="W4" s="5"/>
      <c r="X4" s="5"/>
      <c r="Y4" s="5"/>
      <c r="Z4" s="5"/>
    </row>
    <row r="5">
      <c r="A5" s="18" t="s">
        <v>50</v>
      </c>
      <c r="B5" s="19" t="s">
        <v>51</v>
      </c>
      <c r="C5" s="20">
        <f t="shared" ref="C5:U5" si="1">SUM(C6:C8)</f>
        <v>2265.393424</v>
      </c>
      <c r="D5" s="20">
        <f t="shared" si="1"/>
        <v>2595.104424</v>
      </c>
      <c r="E5" s="20">
        <f t="shared" si="1"/>
        <v>2751.975734</v>
      </c>
      <c r="F5" s="20">
        <f t="shared" si="1"/>
        <v>3002.521564</v>
      </c>
      <c r="G5" s="20">
        <f t="shared" si="1"/>
        <v>3279.560564</v>
      </c>
      <c r="H5" s="20">
        <f t="shared" si="1"/>
        <v>3530.915564</v>
      </c>
      <c r="I5" s="20">
        <f t="shared" si="1"/>
        <v>3740.085564</v>
      </c>
      <c r="J5" s="20">
        <f t="shared" si="1"/>
        <v>3939.893564</v>
      </c>
      <c r="K5" s="20">
        <f t="shared" si="1"/>
        <v>4121.425564</v>
      </c>
      <c r="L5" s="20">
        <f t="shared" si="1"/>
        <v>4329.530564</v>
      </c>
      <c r="M5" s="20">
        <f t="shared" si="1"/>
        <v>4496.713564</v>
      </c>
      <c r="N5" s="20">
        <f t="shared" si="1"/>
        <v>4659.147564</v>
      </c>
      <c r="O5" s="20">
        <f t="shared" si="1"/>
        <v>4875.630564</v>
      </c>
      <c r="P5" s="20">
        <f t="shared" si="1"/>
        <v>5118.215564</v>
      </c>
      <c r="Q5" s="20">
        <f t="shared" si="1"/>
        <v>5291.664564</v>
      </c>
      <c r="R5" s="20">
        <f t="shared" si="1"/>
        <v>5480.004564</v>
      </c>
      <c r="S5" s="20">
        <f t="shared" si="1"/>
        <v>5771.786564</v>
      </c>
      <c r="T5" s="20">
        <f t="shared" si="1"/>
        <v>5985.112564</v>
      </c>
      <c r="U5" s="20">
        <f t="shared" si="1"/>
        <v>6270.618564</v>
      </c>
      <c r="V5" s="5"/>
      <c r="W5" s="5"/>
      <c r="X5" s="5"/>
      <c r="Y5" s="5"/>
      <c r="Z5" s="5"/>
    </row>
    <row r="6">
      <c r="A6" s="13" t="s">
        <v>52</v>
      </c>
      <c r="B6" s="21" t="s">
        <v>52</v>
      </c>
      <c r="C6" s="22">
        <v>2164.266424</v>
      </c>
      <c r="D6" s="22">
        <v>2265.3934240000003</v>
      </c>
      <c r="E6" s="22">
        <v>2595.104424</v>
      </c>
      <c r="F6" s="22">
        <v>2751.975734</v>
      </c>
      <c r="G6" s="22">
        <v>3002.521564</v>
      </c>
      <c r="H6" s="22">
        <v>3297.639564</v>
      </c>
      <c r="I6" s="22">
        <v>3530.9155640000004</v>
      </c>
      <c r="J6" s="22">
        <v>3740.0855640000004</v>
      </c>
      <c r="K6" s="22">
        <v>3939.8935640000004</v>
      </c>
      <c r="L6" s="22">
        <v>4121.425564</v>
      </c>
      <c r="M6" s="22">
        <v>4329.530564000001</v>
      </c>
      <c r="N6" s="22">
        <v>4496.713564000001</v>
      </c>
      <c r="O6" s="22">
        <v>4659.147564</v>
      </c>
      <c r="P6" s="22">
        <v>4875.630564</v>
      </c>
      <c r="Q6" s="22">
        <v>5118.215564</v>
      </c>
      <c r="R6" s="22">
        <v>5291.664564000001</v>
      </c>
      <c r="S6" s="22">
        <v>5480.004564</v>
      </c>
      <c r="T6" s="22">
        <v>5771.786564</v>
      </c>
      <c r="U6" s="22">
        <v>5985.112564</v>
      </c>
      <c r="V6" s="5"/>
      <c r="W6" s="5"/>
      <c r="X6" s="5"/>
      <c r="Y6" s="5"/>
      <c r="Z6" s="5"/>
    </row>
    <row r="7">
      <c r="A7" s="13" t="s">
        <v>53</v>
      </c>
      <c r="B7" s="21" t="s">
        <v>54</v>
      </c>
      <c r="C7" s="22">
        <v>87.212</v>
      </c>
      <c r="D7" s="22">
        <v>117.707</v>
      </c>
      <c r="E7" s="22">
        <v>156.87131</v>
      </c>
      <c r="F7" s="22">
        <v>250.54583</v>
      </c>
      <c r="G7" s="22">
        <v>262.583</v>
      </c>
      <c r="H7" s="22">
        <v>204.711</v>
      </c>
      <c r="I7" s="22">
        <v>182.769</v>
      </c>
      <c r="J7" s="22">
        <v>189.324</v>
      </c>
      <c r="K7" s="22">
        <v>181.532</v>
      </c>
      <c r="L7" s="22">
        <v>178.047</v>
      </c>
      <c r="M7" s="22">
        <v>167.183</v>
      </c>
      <c r="N7" s="22">
        <v>182.55</v>
      </c>
      <c r="O7" s="22">
        <v>182.283</v>
      </c>
      <c r="P7" s="22">
        <v>168.953</v>
      </c>
      <c r="Q7" s="22">
        <v>173.449</v>
      </c>
      <c r="R7" s="22">
        <v>188.34</v>
      </c>
      <c r="S7" s="22">
        <v>278.45</v>
      </c>
      <c r="T7" s="22">
        <v>213.326</v>
      </c>
      <c r="U7" s="22">
        <v>220.231</v>
      </c>
      <c r="V7" s="5"/>
      <c r="W7" s="5"/>
      <c r="X7" s="5"/>
      <c r="Y7" s="5"/>
      <c r="Z7" s="5"/>
    </row>
    <row r="8">
      <c r="A8" s="13" t="s">
        <v>55</v>
      </c>
      <c r="B8" s="21" t="s">
        <v>56</v>
      </c>
      <c r="C8" s="23">
        <v>13.915</v>
      </c>
      <c r="D8" s="23">
        <v>212.004</v>
      </c>
      <c r="E8" s="23">
        <v>0.0</v>
      </c>
      <c r="F8" s="23">
        <v>0.0</v>
      </c>
      <c r="G8" s="23">
        <v>14.456</v>
      </c>
      <c r="H8" s="23">
        <v>28.565</v>
      </c>
      <c r="I8" s="23">
        <v>26.401</v>
      </c>
      <c r="J8" s="23">
        <v>10.484</v>
      </c>
      <c r="K8" s="23">
        <v>0.0</v>
      </c>
      <c r="L8" s="23">
        <v>30.058</v>
      </c>
      <c r="M8" s="23">
        <v>0.0</v>
      </c>
      <c r="N8" s="23">
        <v>-20.116</v>
      </c>
      <c r="O8" s="23">
        <v>34.2</v>
      </c>
      <c r="P8" s="23">
        <v>73.632</v>
      </c>
      <c r="Q8" s="23">
        <v>0.0</v>
      </c>
      <c r="R8" s="23">
        <v>0.0</v>
      </c>
      <c r="S8" s="23">
        <v>13.332</v>
      </c>
      <c r="T8" s="23">
        <v>0.0</v>
      </c>
      <c r="U8" s="23">
        <v>65.275</v>
      </c>
      <c r="V8" s="5"/>
      <c r="W8" s="5"/>
      <c r="X8" s="5"/>
      <c r="Y8" s="5"/>
      <c r="Z8" s="5"/>
    </row>
    <row r="9">
      <c r="A9" s="13"/>
      <c r="B9" s="13"/>
      <c r="C9" s="14"/>
      <c r="D9" s="14"/>
      <c r="E9" s="14"/>
      <c r="F9" s="14"/>
      <c r="G9" s="14"/>
      <c r="H9" s="14"/>
      <c r="I9" s="14"/>
      <c r="J9" s="14"/>
      <c r="K9" s="14"/>
      <c r="L9" s="14"/>
      <c r="M9" s="14"/>
      <c r="N9" s="14"/>
      <c r="O9" s="14"/>
      <c r="P9" s="14"/>
      <c r="Q9" s="14"/>
      <c r="R9" s="14"/>
      <c r="S9" s="14"/>
      <c r="T9" s="14"/>
      <c r="U9" s="14"/>
      <c r="V9" s="5"/>
      <c r="W9" s="5"/>
      <c r="X9" s="5"/>
      <c r="Y9" s="5"/>
      <c r="Z9" s="5"/>
    </row>
    <row r="10">
      <c r="A10" s="24" t="s">
        <v>57</v>
      </c>
      <c r="B10" s="25" t="s">
        <v>49</v>
      </c>
      <c r="C10" s="26"/>
      <c r="D10" s="26"/>
      <c r="E10" s="26"/>
      <c r="F10" s="26"/>
      <c r="G10" s="26"/>
      <c r="H10" s="26"/>
      <c r="I10" s="26"/>
      <c r="J10" s="26"/>
      <c r="K10" s="26"/>
      <c r="L10" s="26"/>
      <c r="M10" s="26"/>
      <c r="N10" s="26"/>
      <c r="O10" s="26"/>
      <c r="P10" s="26"/>
      <c r="Q10" s="26"/>
      <c r="R10" s="26"/>
      <c r="S10" s="26"/>
      <c r="T10" s="26"/>
      <c r="U10" s="26"/>
      <c r="V10" s="5"/>
      <c r="W10" s="5"/>
      <c r="X10" s="5"/>
      <c r="Y10" s="5"/>
      <c r="Z10" s="5"/>
    </row>
    <row r="11">
      <c r="A11" s="18" t="s">
        <v>50</v>
      </c>
      <c r="B11" s="19" t="s">
        <v>51</v>
      </c>
      <c r="C11" s="20">
        <f t="shared" ref="C11:U11" si="2">SUM(C12:C14)</f>
        <v>2262.026424</v>
      </c>
      <c r="D11" s="20">
        <f t="shared" si="2"/>
        <v>2379.067424</v>
      </c>
      <c r="E11" s="20">
        <f t="shared" si="2"/>
        <v>2515.438734</v>
      </c>
      <c r="F11" s="20">
        <f t="shared" si="2"/>
        <v>2750.931564</v>
      </c>
      <c r="G11" s="20">
        <f t="shared" si="2"/>
        <v>3028.453564</v>
      </c>
      <c r="H11" s="20">
        <f t="shared" si="2"/>
        <v>3243.625564</v>
      </c>
      <c r="I11" s="20">
        <f t="shared" si="2"/>
        <v>3429.512564</v>
      </c>
      <c r="J11" s="20">
        <f t="shared" si="2"/>
        <v>3613.935564</v>
      </c>
      <c r="K11" s="20">
        <f t="shared" si="2"/>
        <v>3769.163564</v>
      </c>
      <c r="L11" s="20">
        <f t="shared" si="2"/>
        <v>3915.689564</v>
      </c>
      <c r="M11" s="20">
        <f t="shared" si="2"/>
        <v>4052.858564</v>
      </c>
      <c r="N11" s="20">
        <f t="shared" si="2"/>
        <v>4192.415564</v>
      </c>
      <c r="O11" s="20">
        <f t="shared" si="2"/>
        <v>4385.999564</v>
      </c>
      <c r="P11" s="20">
        <f t="shared" si="2"/>
        <v>4606.899564</v>
      </c>
      <c r="Q11" s="20">
        <f t="shared" si="2"/>
        <v>4764.649564</v>
      </c>
      <c r="R11" s="20">
        <f t="shared" si="2"/>
        <v>4936.489564</v>
      </c>
      <c r="S11" s="20">
        <f t="shared" si="2"/>
        <v>5206.437564</v>
      </c>
      <c r="T11" s="20">
        <f t="shared" si="2"/>
        <v>5397.833564</v>
      </c>
      <c r="U11" s="20">
        <f t="shared" si="2"/>
        <v>5660.183564</v>
      </c>
      <c r="V11" s="5"/>
      <c r="W11" s="5"/>
      <c r="X11" s="5"/>
      <c r="Y11" s="5"/>
      <c r="Z11" s="5"/>
    </row>
    <row r="12">
      <c r="A12" s="13" t="s">
        <v>52</v>
      </c>
      <c r="B12" s="21" t="s">
        <v>52</v>
      </c>
      <c r="C12" s="22">
        <v>2161.097424</v>
      </c>
      <c r="D12" s="22">
        <v>2262.026424</v>
      </c>
      <c r="E12" s="22">
        <v>2379.0674240000003</v>
      </c>
      <c r="F12" s="22">
        <v>2515.4387340000003</v>
      </c>
      <c r="G12" s="22">
        <v>2750.9315640000004</v>
      </c>
      <c r="H12" s="22">
        <v>3028.4535640000004</v>
      </c>
      <c r="I12" s="22">
        <v>3243.6255640000004</v>
      </c>
      <c r="J12" s="22">
        <v>3429.512564</v>
      </c>
      <c r="K12" s="22">
        <v>3613.9355640000003</v>
      </c>
      <c r="L12" s="22">
        <v>3769.1635640000004</v>
      </c>
      <c r="M12" s="22">
        <v>3915.6895640000002</v>
      </c>
      <c r="N12" s="22">
        <v>4052.858564</v>
      </c>
      <c r="O12" s="22">
        <v>4192.415564</v>
      </c>
      <c r="P12" s="22">
        <v>4385.999564000001</v>
      </c>
      <c r="Q12" s="22">
        <v>4606.899564</v>
      </c>
      <c r="R12" s="22">
        <v>4764.649564</v>
      </c>
      <c r="S12" s="22">
        <v>4936.489564</v>
      </c>
      <c r="T12" s="22">
        <v>5206.437564</v>
      </c>
      <c r="U12" s="22">
        <v>5397.8335640000005</v>
      </c>
      <c r="V12" s="5"/>
      <c r="W12" s="5"/>
      <c r="X12" s="5"/>
      <c r="Y12" s="5"/>
      <c r="Z12" s="5"/>
    </row>
    <row r="13">
      <c r="A13" s="13" t="s">
        <v>53</v>
      </c>
      <c r="B13" s="21" t="s">
        <v>54</v>
      </c>
      <c r="C13" s="22">
        <v>87.014</v>
      </c>
      <c r="D13" s="22">
        <v>117.041</v>
      </c>
      <c r="E13" s="22">
        <v>136.37131</v>
      </c>
      <c r="F13" s="22">
        <v>235.49283</v>
      </c>
      <c r="G13" s="22">
        <v>263.066</v>
      </c>
      <c r="H13" s="22">
        <v>186.607</v>
      </c>
      <c r="I13" s="22">
        <v>164.501</v>
      </c>
      <c r="J13" s="22">
        <v>173.939</v>
      </c>
      <c r="K13" s="22">
        <v>155.228</v>
      </c>
      <c r="L13" s="22">
        <v>146.526</v>
      </c>
      <c r="M13" s="22">
        <v>137.169</v>
      </c>
      <c r="N13" s="22">
        <v>159.673</v>
      </c>
      <c r="O13" s="22">
        <v>159.384</v>
      </c>
      <c r="P13" s="22">
        <v>147.268</v>
      </c>
      <c r="Q13" s="22">
        <v>157.75</v>
      </c>
      <c r="R13" s="22">
        <v>171.84</v>
      </c>
      <c r="S13" s="22">
        <v>256.616</v>
      </c>
      <c r="T13" s="22">
        <v>191.396</v>
      </c>
      <c r="U13" s="22">
        <v>197.075</v>
      </c>
      <c r="V13" s="5"/>
      <c r="W13" s="5"/>
      <c r="X13" s="5"/>
      <c r="Y13" s="5"/>
      <c r="Z13" s="5"/>
    </row>
    <row r="14">
      <c r="A14" s="13" t="s">
        <v>55</v>
      </c>
      <c r="B14" s="21" t="s">
        <v>56</v>
      </c>
      <c r="C14" s="23">
        <v>13.915</v>
      </c>
      <c r="D14" s="23">
        <v>0.0</v>
      </c>
      <c r="E14" s="23">
        <v>0.0</v>
      </c>
      <c r="F14" s="23">
        <v>0.0</v>
      </c>
      <c r="G14" s="23">
        <v>14.456</v>
      </c>
      <c r="H14" s="23">
        <v>28.565</v>
      </c>
      <c r="I14" s="23">
        <v>21.386</v>
      </c>
      <c r="J14" s="23">
        <v>10.484</v>
      </c>
      <c r="K14" s="23">
        <v>0.0</v>
      </c>
      <c r="L14" s="23">
        <v>0.0</v>
      </c>
      <c r="M14" s="23">
        <v>0.0</v>
      </c>
      <c r="N14" s="23">
        <v>-20.116</v>
      </c>
      <c r="O14" s="23">
        <v>34.2</v>
      </c>
      <c r="P14" s="23">
        <v>73.632</v>
      </c>
      <c r="Q14" s="23">
        <v>0.0</v>
      </c>
      <c r="R14" s="23">
        <v>0.0</v>
      </c>
      <c r="S14" s="23">
        <v>13.332</v>
      </c>
      <c r="T14" s="23">
        <v>0.0</v>
      </c>
      <c r="U14" s="23">
        <v>65.275</v>
      </c>
      <c r="V14" s="5"/>
      <c r="W14" s="5"/>
      <c r="X14" s="5"/>
      <c r="Y14" s="5"/>
      <c r="Z14" s="5"/>
    </row>
    <row r="15">
      <c r="A15" s="18" t="s">
        <v>58</v>
      </c>
      <c r="B15" s="19" t="s">
        <v>59</v>
      </c>
      <c r="C15" s="27">
        <v>0.9805</v>
      </c>
      <c r="D15" s="27">
        <v>0.988</v>
      </c>
      <c r="E15" s="27">
        <v>0.983</v>
      </c>
      <c r="F15" s="27">
        <v>0.9799</v>
      </c>
      <c r="G15" s="27">
        <v>0.988</v>
      </c>
      <c r="H15" s="27">
        <v>0.9849</v>
      </c>
      <c r="I15" s="27">
        <v>0.9857</v>
      </c>
      <c r="J15" s="27">
        <v>0.9903</v>
      </c>
      <c r="K15" s="27">
        <v>0.9797</v>
      </c>
      <c r="L15" s="27">
        <v>0.9829</v>
      </c>
      <c r="M15" s="27">
        <v>0.9817</v>
      </c>
      <c r="N15" s="27">
        <v>0.9754</v>
      </c>
      <c r="O15" s="27">
        <v>0.9869</v>
      </c>
      <c r="P15" s="27">
        <v>0.9821</v>
      </c>
      <c r="Q15" s="27">
        <v>0.9858</v>
      </c>
      <c r="R15" s="27">
        <v>0.9887</v>
      </c>
      <c r="S15" s="27">
        <v>0.9828</v>
      </c>
      <c r="T15" s="27">
        <v>0.9829</v>
      </c>
      <c r="U15" s="27">
        <v>0.98613</v>
      </c>
      <c r="V15" s="5"/>
      <c r="W15" s="5"/>
      <c r="X15" s="5"/>
      <c r="Y15" s="5"/>
      <c r="Z15" s="5"/>
    </row>
    <row r="16">
      <c r="A16" s="13"/>
      <c r="B16" s="13"/>
      <c r="C16" s="14"/>
      <c r="D16" s="14"/>
      <c r="E16" s="14"/>
      <c r="F16" s="14"/>
      <c r="G16" s="14"/>
      <c r="H16" s="14"/>
      <c r="I16" s="14"/>
      <c r="J16" s="14"/>
      <c r="K16" s="14"/>
      <c r="L16" s="14"/>
      <c r="M16" s="14"/>
      <c r="N16" s="14"/>
      <c r="O16" s="14"/>
      <c r="P16" s="14"/>
      <c r="Q16" s="14"/>
      <c r="R16" s="14"/>
      <c r="S16" s="14"/>
      <c r="T16" s="14"/>
      <c r="U16" s="14"/>
      <c r="V16" s="5"/>
      <c r="W16" s="5"/>
      <c r="X16" s="5"/>
      <c r="Y16" s="5"/>
      <c r="Z16" s="5"/>
    </row>
    <row r="17">
      <c r="A17" s="28" t="s">
        <v>60</v>
      </c>
      <c r="B17" s="29" t="s">
        <v>60</v>
      </c>
      <c r="C17" s="30"/>
      <c r="D17" s="30"/>
      <c r="E17" s="30"/>
      <c r="F17" s="30"/>
      <c r="G17" s="30"/>
      <c r="H17" s="30"/>
      <c r="I17" s="30"/>
      <c r="J17" s="30"/>
      <c r="K17" s="30"/>
      <c r="L17" s="30"/>
      <c r="M17" s="30"/>
      <c r="N17" s="30"/>
      <c r="O17" s="30"/>
      <c r="P17" s="30"/>
      <c r="Q17" s="30"/>
      <c r="R17" s="30"/>
      <c r="S17" s="30"/>
      <c r="T17" s="30"/>
      <c r="U17" s="30"/>
      <c r="V17" s="5"/>
      <c r="W17" s="5"/>
      <c r="X17" s="5"/>
      <c r="Y17" s="5"/>
      <c r="Z17" s="5"/>
    </row>
    <row r="18">
      <c r="A18" s="18" t="s">
        <v>61</v>
      </c>
      <c r="B18" s="19" t="s">
        <v>62</v>
      </c>
      <c r="C18" s="20">
        <f t="shared" ref="C18:U18" si="3">SUM(C19:C21)</f>
        <v>3.367</v>
      </c>
      <c r="D18" s="20">
        <f t="shared" si="3"/>
        <v>216.037</v>
      </c>
      <c r="E18" s="20">
        <f t="shared" si="3"/>
        <v>236.537</v>
      </c>
      <c r="F18" s="20">
        <f t="shared" si="3"/>
        <v>251.59</v>
      </c>
      <c r="G18" s="20">
        <f t="shared" si="3"/>
        <v>269.186</v>
      </c>
      <c r="H18" s="20">
        <f t="shared" si="3"/>
        <v>287.29</v>
      </c>
      <c r="I18" s="20">
        <f t="shared" si="3"/>
        <v>310.573</v>
      </c>
      <c r="J18" s="20">
        <f t="shared" si="3"/>
        <v>325.958</v>
      </c>
      <c r="K18" s="20">
        <f t="shared" si="3"/>
        <v>352.262</v>
      </c>
      <c r="L18" s="20">
        <f t="shared" si="3"/>
        <v>413.841</v>
      </c>
      <c r="M18" s="20">
        <f t="shared" si="3"/>
        <v>443.855</v>
      </c>
      <c r="N18" s="20">
        <f t="shared" si="3"/>
        <v>466.732</v>
      </c>
      <c r="O18" s="20">
        <f t="shared" si="3"/>
        <v>489.631</v>
      </c>
      <c r="P18" s="20">
        <f t="shared" si="3"/>
        <v>511.316</v>
      </c>
      <c r="Q18" s="20">
        <f t="shared" si="3"/>
        <v>527.015</v>
      </c>
      <c r="R18" s="20">
        <f t="shared" si="3"/>
        <v>543.515</v>
      </c>
      <c r="S18" s="20">
        <f t="shared" si="3"/>
        <v>565.349</v>
      </c>
      <c r="T18" s="20">
        <f t="shared" si="3"/>
        <v>587.279</v>
      </c>
      <c r="U18" s="20">
        <f t="shared" si="3"/>
        <v>610.435</v>
      </c>
      <c r="V18" s="5"/>
      <c r="W18" s="5"/>
      <c r="X18" s="5"/>
      <c r="Y18" s="5"/>
      <c r="Z18" s="5"/>
    </row>
    <row r="19">
      <c r="A19" s="13" t="s">
        <v>52</v>
      </c>
      <c r="B19" s="21" t="s">
        <v>52</v>
      </c>
      <c r="C19" s="22">
        <v>3.169</v>
      </c>
      <c r="D19" s="22">
        <v>3.367</v>
      </c>
      <c r="E19" s="22">
        <v>216.037</v>
      </c>
      <c r="F19" s="22">
        <v>236.537</v>
      </c>
      <c r="G19" s="22">
        <v>251.59</v>
      </c>
      <c r="H19" s="22">
        <v>269.186</v>
      </c>
      <c r="I19" s="22">
        <v>287.29</v>
      </c>
      <c r="J19" s="22">
        <v>310.573</v>
      </c>
      <c r="K19" s="22">
        <v>325.958</v>
      </c>
      <c r="L19" s="22">
        <v>352.262</v>
      </c>
      <c r="M19" s="22">
        <v>413.841</v>
      </c>
      <c r="N19" s="22">
        <v>443.855</v>
      </c>
      <c r="O19" s="22">
        <v>466.732</v>
      </c>
      <c r="P19" s="22">
        <v>489.631</v>
      </c>
      <c r="Q19" s="22">
        <v>511.316</v>
      </c>
      <c r="R19" s="22">
        <v>527.015</v>
      </c>
      <c r="S19" s="22">
        <v>543.515</v>
      </c>
      <c r="T19" s="22">
        <v>565.349</v>
      </c>
      <c r="U19" s="22">
        <v>587.279</v>
      </c>
      <c r="V19" s="5"/>
      <c r="W19" s="5"/>
      <c r="X19" s="5"/>
      <c r="Y19" s="5"/>
      <c r="Z19" s="5"/>
    </row>
    <row r="20">
      <c r="A20" s="13" t="s">
        <v>53</v>
      </c>
      <c r="B20" s="21" t="s">
        <v>54</v>
      </c>
      <c r="C20" s="22">
        <v>0.198</v>
      </c>
      <c r="D20" s="22">
        <v>0.666</v>
      </c>
      <c r="E20" s="22">
        <v>20.5</v>
      </c>
      <c r="F20" s="22">
        <v>15.053</v>
      </c>
      <c r="G20" s="22">
        <v>17.596</v>
      </c>
      <c r="H20" s="22">
        <v>18.104</v>
      </c>
      <c r="I20" s="22">
        <v>18.268</v>
      </c>
      <c r="J20" s="22">
        <v>15.385</v>
      </c>
      <c r="K20" s="22">
        <v>26.304</v>
      </c>
      <c r="L20" s="22">
        <v>31.521</v>
      </c>
      <c r="M20" s="22">
        <v>30.014</v>
      </c>
      <c r="N20" s="22">
        <v>22.877</v>
      </c>
      <c r="O20" s="22">
        <v>22.899</v>
      </c>
      <c r="P20" s="22">
        <v>21.685</v>
      </c>
      <c r="Q20" s="22">
        <v>15.699</v>
      </c>
      <c r="R20" s="22">
        <v>16.5</v>
      </c>
      <c r="S20" s="22">
        <v>21.834</v>
      </c>
      <c r="T20" s="22">
        <v>21.93</v>
      </c>
      <c r="U20" s="22">
        <v>23.156</v>
      </c>
      <c r="V20" s="5"/>
      <c r="W20" s="5"/>
      <c r="X20" s="5"/>
      <c r="Y20" s="5"/>
      <c r="Z20" s="5"/>
    </row>
    <row r="21" ht="15.75" customHeight="1">
      <c r="A21" s="13" t="s">
        <v>55</v>
      </c>
      <c r="B21" s="21" t="s">
        <v>56</v>
      </c>
      <c r="C21" s="23">
        <v>0.0</v>
      </c>
      <c r="D21" s="23">
        <v>212.004</v>
      </c>
      <c r="E21" s="23">
        <v>0.0</v>
      </c>
      <c r="F21" s="23">
        <v>0.0</v>
      </c>
      <c r="G21" s="23">
        <v>0.0</v>
      </c>
      <c r="H21" s="23">
        <v>0.0</v>
      </c>
      <c r="I21" s="23">
        <v>5.015</v>
      </c>
      <c r="J21" s="23">
        <v>0.0</v>
      </c>
      <c r="K21" s="23">
        <v>0.0</v>
      </c>
      <c r="L21" s="23">
        <v>30.058</v>
      </c>
      <c r="M21" s="23">
        <v>0.0</v>
      </c>
      <c r="N21" s="23">
        <v>0.0</v>
      </c>
      <c r="O21" s="23">
        <v>0.0</v>
      </c>
      <c r="P21" s="23">
        <v>0.0</v>
      </c>
      <c r="Q21" s="23">
        <v>0.0</v>
      </c>
      <c r="R21" s="23">
        <v>0.0</v>
      </c>
      <c r="S21" s="23">
        <v>0.0</v>
      </c>
      <c r="T21" s="23">
        <v>0.0</v>
      </c>
      <c r="U21" s="23">
        <v>0.0</v>
      </c>
      <c r="V21" s="5"/>
      <c r="W21" s="5"/>
      <c r="X21" s="5"/>
      <c r="Y21" s="5"/>
      <c r="Z21" s="5"/>
    </row>
    <row r="22" ht="15.75" customHeight="1">
      <c r="A22" s="18" t="s">
        <v>63</v>
      </c>
      <c r="B22" s="19" t="s">
        <v>64</v>
      </c>
      <c r="C22" s="27">
        <v>0.9224</v>
      </c>
      <c r="D22" s="27">
        <v>0.9745</v>
      </c>
      <c r="E22" s="27">
        <v>0.979</v>
      </c>
      <c r="F22" s="27">
        <v>0.977</v>
      </c>
      <c r="G22" s="27">
        <v>0.9766</v>
      </c>
      <c r="H22" s="27">
        <v>0.9734</v>
      </c>
      <c r="I22" s="27">
        <v>0.9714</v>
      </c>
      <c r="J22" s="27">
        <v>0.9753</v>
      </c>
      <c r="K22" s="27">
        <v>0.9531</v>
      </c>
      <c r="L22" s="27">
        <v>0.951</v>
      </c>
      <c r="M22" s="27">
        <v>0.949</v>
      </c>
      <c r="N22" s="27">
        <v>0.9506</v>
      </c>
      <c r="O22" s="27">
        <v>0.9169</v>
      </c>
      <c r="P22" s="27">
        <v>0.9439</v>
      </c>
      <c r="Q22" s="27">
        <v>0.944</v>
      </c>
      <c r="R22" s="27">
        <v>0.9454</v>
      </c>
      <c r="S22" s="27">
        <v>0.9498</v>
      </c>
      <c r="T22" s="27">
        <v>0.9474</v>
      </c>
      <c r="U22" s="27">
        <v>0.9475</v>
      </c>
      <c r="V22" s="5"/>
      <c r="W22" s="5"/>
      <c r="X22" s="5"/>
      <c r="Y22" s="5"/>
      <c r="Z22" s="5"/>
    </row>
    <row r="23" ht="15.75" customHeight="1">
      <c r="A23" s="13"/>
      <c r="B23" s="13"/>
      <c r="C23" s="14"/>
      <c r="D23" s="14"/>
      <c r="E23" s="14"/>
      <c r="F23" s="14"/>
      <c r="G23" s="14"/>
      <c r="H23" s="14"/>
      <c r="I23" s="14"/>
      <c r="J23" s="14"/>
      <c r="K23" s="14"/>
      <c r="L23" s="14"/>
      <c r="M23" s="14"/>
      <c r="N23" s="14"/>
      <c r="O23" s="14"/>
      <c r="P23" s="14"/>
      <c r="Q23" s="14"/>
      <c r="R23" s="14"/>
      <c r="S23" s="14"/>
      <c r="T23" s="14"/>
      <c r="U23" s="14"/>
      <c r="V23" s="5"/>
      <c r="W23" s="5"/>
      <c r="X23" s="5"/>
      <c r="Y23" s="5"/>
      <c r="Z23" s="5"/>
    </row>
    <row r="24" ht="15.75" customHeight="1">
      <c r="A24" s="31" t="s">
        <v>65</v>
      </c>
      <c r="B24" s="32" t="s">
        <v>65</v>
      </c>
      <c r="C24" s="33"/>
      <c r="D24" s="33"/>
      <c r="E24" s="33"/>
      <c r="F24" s="33"/>
      <c r="G24" s="33"/>
      <c r="H24" s="33"/>
      <c r="I24" s="33"/>
      <c r="J24" s="33"/>
      <c r="K24" s="33"/>
      <c r="L24" s="33"/>
      <c r="M24" s="33"/>
      <c r="N24" s="33"/>
      <c r="O24" s="33"/>
      <c r="P24" s="33"/>
      <c r="Q24" s="33"/>
      <c r="R24" s="33"/>
      <c r="S24" s="33"/>
      <c r="T24" s="33"/>
      <c r="U24" s="33"/>
      <c r="V24" s="5"/>
      <c r="W24" s="5"/>
      <c r="X24" s="5"/>
      <c r="Y24" s="5"/>
      <c r="Z24" s="5"/>
    </row>
    <row r="25" ht="15.75" customHeight="1">
      <c r="A25" s="34" t="s">
        <v>66</v>
      </c>
      <c r="B25" s="35" t="s">
        <v>67</v>
      </c>
      <c r="C25" s="36">
        <v>2043.015767</v>
      </c>
      <c r="D25" s="36">
        <v>2438.293962</v>
      </c>
      <c r="E25" s="36">
        <v>2665.874407</v>
      </c>
      <c r="F25" s="36">
        <v>2624.208729</v>
      </c>
      <c r="G25" s="36">
        <v>2562.582603</v>
      </c>
      <c r="H25" s="36">
        <v>2646.515747</v>
      </c>
      <c r="I25" s="36">
        <v>2908.733417</v>
      </c>
      <c r="J25" s="36">
        <v>2702.631113</v>
      </c>
      <c r="K25" s="36">
        <v>2524.798558</v>
      </c>
      <c r="L25" s="36">
        <v>2483.308789</v>
      </c>
      <c r="M25" s="36">
        <v>2885.623165</v>
      </c>
      <c r="N25" s="36">
        <v>2735.618984</v>
      </c>
      <c r="O25" s="36">
        <v>2618.485</v>
      </c>
      <c r="P25" s="36">
        <v>2791.1</v>
      </c>
      <c r="Q25" s="36">
        <v>3047.242</v>
      </c>
      <c r="R25" s="36">
        <v>3414.679</v>
      </c>
      <c r="S25" s="36">
        <v>3208.912</v>
      </c>
      <c r="T25" s="36">
        <v>3237.892</v>
      </c>
      <c r="U25" s="36">
        <v>3393.912</v>
      </c>
      <c r="V25" s="5"/>
      <c r="W25" s="5"/>
      <c r="X25" s="5"/>
      <c r="Y25" s="5"/>
      <c r="Z25" s="5"/>
    </row>
    <row r="26" ht="15.75" customHeight="1">
      <c r="A26" s="13" t="s">
        <v>68</v>
      </c>
      <c r="B26" s="21" t="s">
        <v>69</v>
      </c>
      <c r="C26" s="22">
        <v>57.18</v>
      </c>
      <c r="D26" s="22">
        <v>51.9</v>
      </c>
      <c r="E26" s="22">
        <v>55.25</v>
      </c>
      <c r="F26" s="22">
        <v>61.41</v>
      </c>
      <c r="G26" s="22">
        <v>58.41</v>
      </c>
      <c r="H26" s="22">
        <v>54.03</v>
      </c>
      <c r="I26" s="22">
        <v>62.49</v>
      </c>
      <c r="J26" s="22">
        <v>68.81</v>
      </c>
      <c r="K26" s="22">
        <v>60.83</v>
      </c>
      <c r="L26" s="22">
        <v>55.9</v>
      </c>
      <c r="M26" s="22">
        <v>74.14</v>
      </c>
      <c r="N26" s="22">
        <v>70.27</v>
      </c>
      <c r="O26" s="22">
        <v>65.02</v>
      </c>
      <c r="P26" s="22">
        <v>59.52</v>
      </c>
      <c r="Q26" s="22">
        <v>64.15</v>
      </c>
      <c r="R26" s="22">
        <v>69.55</v>
      </c>
      <c r="S26" s="22">
        <v>64.68</v>
      </c>
      <c r="T26" s="22">
        <v>60.34</v>
      </c>
      <c r="U26" s="22">
        <v>67.14</v>
      </c>
      <c r="V26" s="5"/>
      <c r="W26" s="5"/>
      <c r="X26" s="5"/>
      <c r="Y26" s="5"/>
      <c r="Z26" s="5"/>
    </row>
    <row r="27" ht="15.75" customHeight="1">
      <c r="A27" s="34" t="s">
        <v>70</v>
      </c>
      <c r="B27" s="35" t="s">
        <v>71</v>
      </c>
      <c r="C27" s="36">
        <v>1391.87833313</v>
      </c>
      <c r="D27" s="36">
        <v>1491.0133247400001</v>
      </c>
      <c r="E27" s="36">
        <v>1584.2727481400002</v>
      </c>
      <c r="F27" s="36">
        <v>1548.0261725599998</v>
      </c>
      <c r="G27" s="36">
        <v>1813.54660803</v>
      </c>
      <c r="H27" s="36">
        <v>1763.13420559</v>
      </c>
      <c r="I27" s="36">
        <v>1802.78914601</v>
      </c>
      <c r="J27" s="36">
        <v>1834.31337716</v>
      </c>
      <c r="K27" s="36">
        <v>1965.08366818</v>
      </c>
      <c r="L27" s="36">
        <v>1805.8830139299998</v>
      </c>
      <c r="M27" s="36">
        <v>1978.04898305</v>
      </c>
      <c r="N27" s="36">
        <v>2086.90964725</v>
      </c>
      <c r="O27" s="36">
        <v>2325.5598000000005</v>
      </c>
      <c r="P27" s="36">
        <v>2112.91156</v>
      </c>
      <c r="Q27" s="36">
        <v>2142.5389699999996</v>
      </c>
      <c r="R27" s="36">
        <v>2152.5245800000002</v>
      </c>
      <c r="S27" s="36">
        <v>2471.812</v>
      </c>
      <c r="T27" s="36">
        <v>2472.7101700000003</v>
      </c>
      <c r="U27" s="36">
        <v>2380.1684299999997</v>
      </c>
      <c r="V27" s="5"/>
      <c r="W27" s="5"/>
      <c r="X27" s="5"/>
      <c r="Y27" s="5"/>
      <c r="Z27" s="5"/>
    </row>
    <row r="28" ht="15.75" customHeight="1">
      <c r="A28" s="13" t="s">
        <v>72</v>
      </c>
      <c r="B28" s="21" t="s">
        <v>73</v>
      </c>
      <c r="C28" s="22">
        <f t="shared" ref="C28:U28" si="4">C30/(C25/90)</f>
        <v>61.00600495</v>
      </c>
      <c r="D28" s="22">
        <f t="shared" si="4"/>
        <v>54.95395227</v>
      </c>
      <c r="E28" s="22">
        <f t="shared" si="4"/>
        <v>53.41525453</v>
      </c>
      <c r="F28" s="22">
        <f t="shared" si="4"/>
        <v>53.09755983</v>
      </c>
      <c r="G28" s="22">
        <f t="shared" si="4"/>
        <v>62.89018345</v>
      </c>
      <c r="H28" s="22">
        <f t="shared" si="4"/>
        <v>59.39087276</v>
      </c>
      <c r="I28" s="22">
        <f t="shared" si="4"/>
        <v>55.25182166</v>
      </c>
      <c r="J28" s="22">
        <f t="shared" si="4"/>
        <v>60.54168359</v>
      </c>
      <c r="K28" s="22">
        <f t="shared" si="4"/>
        <v>69.52495337</v>
      </c>
      <c r="L28" s="22">
        <f t="shared" si="4"/>
        <v>64.75125864</v>
      </c>
      <c r="M28" s="22">
        <f t="shared" si="4"/>
        <v>61.27954793</v>
      </c>
      <c r="N28" s="22">
        <f t="shared" si="4"/>
        <v>68.09459241</v>
      </c>
      <c r="O28" s="22">
        <f t="shared" si="4"/>
        <v>79.36064465</v>
      </c>
      <c r="P28" s="22">
        <f t="shared" si="4"/>
        <v>67.35436292</v>
      </c>
      <c r="Q28" s="22">
        <f t="shared" si="4"/>
        <v>62.77155431</v>
      </c>
      <c r="R28" s="22">
        <f t="shared" si="4"/>
        <v>55.89968931</v>
      </c>
      <c r="S28" s="22">
        <f t="shared" si="4"/>
        <v>68.6148919</v>
      </c>
      <c r="T28" s="22">
        <f t="shared" si="4"/>
        <v>67.48244219</v>
      </c>
      <c r="U28" s="22">
        <f t="shared" si="4"/>
        <v>61.87600901</v>
      </c>
      <c r="V28" s="5"/>
      <c r="W28" s="5"/>
      <c r="X28" s="5"/>
      <c r="Y28" s="5"/>
      <c r="Z28" s="5"/>
    </row>
    <row r="29" ht="15.75" customHeight="1">
      <c r="A29" s="18" t="s">
        <v>74</v>
      </c>
      <c r="B29" s="19" t="s">
        <v>75</v>
      </c>
      <c r="C29" s="20">
        <f t="shared" ref="C29:U29" si="5">C38+C39</f>
        <v>1392.845</v>
      </c>
      <c r="D29" s="20">
        <f t="shared" si="5"/>
        <v>1499.527</v>
      </c>
      <c r="E29" s="20">
        <f t="shared" si="5"/>
        <v>1594.86</v>
      </c>
      <c r="F29" s="20">
        <f t="shared" si="5"/>
        <v>1566.134</v>
      </c>
      <c r="G29" s="20">
        <f t="shared" si="5"/>
        <v>1813.547</v>
      </c>
      <c r="H29" s="20">
        <f t="shared" si="5"/>
        <v>1763.136</v>
      </c>
      <c r="I29" s="20">
        <f t="shared" si="5"/>
        <v>1802.789961</v>
      </c>
      <c r="J29" s="20">
        <f t="shared" si="5"/>
        <v>1834.315642</v>
      </c>
      <c r="K29" s="20">
        <f t="shared" si="5"/>
        <v>1965.090334</v>
      </c>
      <c r="L29" s="20">
        <f t="shared" si="5"/>
        <v>1805.896034</v>
      </c>
      <c r="M29" s="20">
        <f t="shared" si="5"/>
        <v>1978.057682</v>
      </c>
      <c r="N29" s="20">
        <f t="shared" si="5"/>
        <v>2086.90965</v>
      </c>
      <c r="O29" s="20">
        <f t="shared" si="5"/>
        <v>2325.5598</v>
      </c>
      <c r="P29" s="20">
        <f t="shared" si="5"/>
        <v>2112.91156</v>
      </c>
      <c r="Q29" s="20">
        <f t="shared" si="5"/>
        <v>2142.53897</v>
      </c>
      <c r="R29" s="20">
        <f t="shared" si="5"/>
        <v>2152.52458</v>
      </c>
      <c r="S29" s="20">
        <f t="shared" si="5"/>
        <v>2471.812</v>
      </c>
      <c r="T29" s="20">
        <f t="shared" si="5"/>
        <v>2472.71017</v>
      </c>
      <c r="U29" s="20">
        <f t="shared" si="5"/>
        <v>2380.16843</v>
      </c>
      <c r="V29" s="5"/>
      <c r="W29" s="5"/>
      <c r="X29" s="5"/>
      <c r="Y29" s="5"/>
      <c r="Z29" s="5"/>
    </row>
    <row r="30" ht="15.75" customHeight="1">
      <c r="A30" s="37" t="s">
        <v>76</v>
      </c>
      <c r="B30" s="38" t="s">
        <v>77</v>
      </c>
      <c r="C30" s="22">
        <v>1384.847</v>
      </c>
      <c r="D30" s="22">
        <v>1488.821</v>
      </c>
      <c r="E30" s="22">
        <v>1582.204</v>
      </c>
      <c r="F30" s="22">
        <v>1548.212</v>
      </c>
      <c r="G30" s="22">
        <v>1790.681</v>
      </c>
      <c r="H30" s="22">
        <v>1746.432</v>
      </c>
      <c r="I30" s="22">
        <v>1785.698</v>
      </c>
      <c r="J30" s="22">
        <v>1818.020419</v>
      </c>
      <c r="K30" s="22">
        <v>1950.4055779999999</v>
      </c>
      <c r="L30" s="22">
        <v>1786.637441</v>
      </c>
      <c r="M30" s="22">
        <v>1964.7742560000002</v>
      </c>
      <c r="N30" s="22">
        <v>2069.78733</v>
      </c>
      <c r="O30" s="22">
        <v>2308.9406400000003</v>
      </c>
      <c r="P30" s="22">
        <v>2088.80847038</v>
      </c>
      <c r="Q30" s="22">
        <v>2125.33463</v>
      </c>
      <c r="R30" s="22">
        <v>2120.88328</v>
      </c>
      <c r="S30" s="22">
        <v>2446.435</v>
      </c>
      <c r="T30" s="22">
        <v>2427.78733</v>
      </c>
      <c r="U30" s="22">
        <v>2333.3525499999996</v>
      </c>
      <c r="V30" s="5"/>
      <c r="W30" s="5"/>
      <c r="X30" s="5"/>
      <c r="Y30" s="5"/>
      <c r="Z30" s="5"/>
    </row>
    <row r="31" ht="15.75" customHeight="1">
      <c r="A31" s="13" t="s">
        <v>78</v>
      </c>
      <c r="B31" s="21" t="s">
        <v>79</v>
      </c>
      <c r="C31" s="22"/>
      <c r="D31" s="22"/>
      <c r="E31" s="22"/>
      <c r="F31" s="22"/>
      <c r="G31" s="22"/>
      <c r="H31" s="22"/>
      <c r="I31" s="22"/>
      <c r="J31" s="22"/>
      <c r="K31" s="22"/>
      <c r="L31" s="22"/>
      <c r="M31" s="22"/>
      <c r="N31" s="22"/>
      <c r="O31" s="22"/>
      <c r="P31" s="22"/>
      <c r="Q31" s="22"/>
      <c r="R31" s="22"/>
      <c r="S31" s="22"/>
      <c r="T31" s="22"/>
      <c r="U31" s="22"/>
      <c r="V31" s="5"/>
      <c r="W31" s="5"/>
      <c r="X31" s="5"/>
      <c r="Y31" s="5"/>
      <c r="Z31" s="5"/>
    </row>
    <row r="32" ht="15.75" customHeight="1">
      <c r="A32" s="37" t="s">
        <v>80</v>
      </c>
      <c r="B32" s="38" t="s">
        <v>81</v>
      </c>
      <c r="C32" s="22">
        <v>8.151</v>
      </c>
      <c r="D32" s="22">
        <v>12.353</v>
      </c>
      <c r="E32" s="22">
        <v>14.881</v>
      </c>
      <c r="F32" s="22">
        <v>17.448</v>
      </c>
      <c r="G32" s="22">
        <v>21.205</v>
      </c>
      <c r="H32" s="22">
        <v>16.285</v>
      </c>
      <c r="I32" s="22">
        <v>16.108</v>
      </c>
      <c r="J32" s="22">
        <v>20.52959126</v>
      </c>
      <c r="K32" s="22">
        <v>14.08093357</v>
      </c>
      <c r="L32" s="22">
        <v>14.60807507</v>
      </c>
      <c r="M32" s="22">
        <v>13.07607647</v>
      </c>
      <c r="N32" s="22">
        <v>15.132290000000001</v>
      </c>
      <c r="O32" s="22">
        <v>13.300870000000002</v>
      </c>
      <c r="P32" s="22">
        <v>18.58976884</v>
      </c>
      <c r="Q32" s="22">
        <v>14.33117</v>
      </c>
      <c r="R32" s="22">
        <v>33.34594</v>
      </c>
      <c r="S32" s="22">
        <v>22.331</v>
      </c>
      <c r="T32" s="22">
        <v>43.90649</v>
      </c>
      <c r="U32" s="22">
        <v>29.93243</v>
      </c>
      <c r="V32" s="5"/>
      <c r="W32" s="5"/>
      <c r="X32" s="5"/>
      <c r="Y32" s="5"/>
      <c r="Z32" s="5"/>
    </row>
    <row r="33" ht="15.75" customHeight="1">
      <c r="A33" s="37" t="s">
        <v>82</v>
      </c>
      <c r="B33" s="38" t="s">
        <v>83</v>
      </c>
      <c r="C33" s="22">
        <v>1.315</v>
      </c>
      <c r="D33" s="22">
        <v>1.929</v>
      </c>
      <c r="E33" s="22">
        <v>2.138</v>
      </c>
      <c r="F33" s="22">
        <v>3.933</v>
      </c>
      <c r="G33" s="22">
        <v>5.704</v>
      </c>
      <c r="H33" s="22">
        <v>4.097</v>
      </c>
      <c r="I33" s="22">
        <v>4.2189140599999995</v>
      </c>
      <c r="J33" s="22">
        <v>5.2642986899999995</v>
      </c>
      <c r="K33" s="22">
        <v>3.9818165100000003</v>
      </c>
      <c r="L33" s="22">
        <v>4.580969570000001</v>
      </c>
      <c r="M33" s="22">
        <v>4.50204635</v>
      </c>
      <c r="N33" s="22">
        <v>5.52732</v>
      </c>
      <c r="O33" s="22">
        <v>4.95896</v>
      </c>
      <c r="P33" s="22">
        <v>6.4119039</v>
      </c>
      <c r="Q33" s="22">
        <v>5.05639</v>
      </c>
      <c r="R33" s="22">
        <v>2.75683</v>
      </c>
      <c r="S33" s="22">
        <v>7.653</v>
      </c>
      <c r="T33" s="22">
        <v>5.52404</v>
      </c>
      <c r="U33" s="22">
        <v>3.8302199999999997</v>
      </c>
      <c r="V33" s="5"/>
      <c r="W33" s="5"/>
      <c r="X33" s="5"/>
      <c r="Y33" s="5"/>
      <c r="Z33" s="5"/>
    </row>
    <row r="34" ht="15.75" customHeight="1">
      <c r="A34" s="37" t="s">
        <v>84</v>
      </c>
      <c r="B34" s="38" t="s">
        <v>85</v>
      </c>
      <c r="C34" s="22">
        <v>1.222</v>
      </c>
      <c r="D34" s="22">
        <v>1.459</v>
      </c>
      <c r="E34" s="22">
        <v>2.037</v>
      </c>
      <c r="F34" s="22">
        <v>2.874</v>
      </c>
      <c r="G34" s="22">
        <v>5.296</v>
      </c>
      <c r="H34" s="22">
        <v>3.485</v>
      </c>
      <c r="I34" s="22">
        <v>3.8500464500000002</v>
      </c>
      <c r="J34" s="22">
        <v>6.46009334</v>
      </c>
      <c r="K34" s="22">
        <v>3.93300581</v>
      </c>
      <c r="L34" s="22">
        <v>6.24936911</v>
      </c>
      <c r="M34" s="22">
        <v>3.7782824799999997</v>
      </c>
      <c r="N34" s="22">
        <v>4.00276</v>
      </c>
      <c r="O34" s="22">
        <v>4.44359</v>
      </c>
      <c r="P34" s="22">
        <v>4.249244829999999</v>
      </c>
      <c r="Q34" s="22">
        <v>3.3091999999999997</v>
      </c>
      <c r="R34" s="22">
        <v>2.89424</v>
      </c>
      <c r="S34" s="22">
        <v>3.54</v>
      </c>
      <c r="T34" s="22">
        <v>4.05755</v>
      </c>
      <c r="U34" s="22">
        <v>8.92841</v>
      </c>
      <c r="V34" s="5"/>
      <c r="W34" s="5"/>
      <c r="X34" s="5"/>
      <c r="Y34" s="5"/>
      <c r="Z34" s="5"/>
    </row>
    <row r="35" ht="15.75" customHeight="1">
      <c r="A35" s="37" t="s">
        <v>86</v>
      </c>
      <c r="B35" s="38" t="s">
        <v>87</v>
      </c>
      <c r="C35" s="22">
        <v>2.167</v>
      </c>
      <c r="D35" s="22">
        <v>2.682</v>
      </c>
      <c r="E35" s="22">
        <v>3.604</v>
      </c>
      <c r="F35" s="22">
        <v>5.27</v>
      </c>
      <c r="G35" s="22">
        <v>8.255</v>
      </c>
      <c r="H35" s="22">
        <v>11.503</v>
      </c>
      <c r="I35" s="22">
        <v>9.18</v>
      </c>
      <c r="J35" s="22">
        <v>9.62194979</v>
      </c>
      <c r="K35" s="22">
        <v>18.311</v>
      </c>
      <c r="L35" s="22">
        <v>15.326625029999999</v>
      </c>
      <c r="M35" s="22">
        <v>8.483986940000001</v>
      </c>
      <c r="N35" s="22">
        <v>10.68817</v>
      </c>
      <c r="O35" s="22">
        <v>10.15961</v>
      </c>
      <c r="P35" s="22">
        <v>11.12173671</v>
      </c>
      <c r="Q35" s="22">
        <v>10.35126</v>
      </c>
      <c r="R35" s="22">
        <v>8.00301</v>
      </c>
      <c r="S35" s="22">
        <v>7.512</v>
      </c>
      <c r="T35" s="22">
        <v>10.736</v>
      </c>
      <c r="U35" s="22">
        <v>26.89417</v>
      </c>
      <c r="V35" s="5"/>
      <c r="W35" s="5"/>
      <c r="X35" s="5"/>
      <c r="Y35" s="5"/>
      <c r="Z35" s="5"/>
    </row>
    <row r="36" ht="15.75" customHeight="1">
      <c r="A36" s="37" t="s">
        <v>88</v>
      </c>
      <c r="B36" s="38" t="s">
        <v>89</v>
      </c>
      <c r="C36" s="22">
        <v>7.483</v>
      </c>
      <c r="D36" s="22">
        <v>3.542</v>
      </c>
      <c r="E36" s="22">
        <v>4.547</v>
      </c>
      <c r="F36" s="22">
        <v>6.874</v>
      </c>
      <c r="G36" s="22">
        <v>7.824</v>
      </c>
      <c r="H36" s="22">
        <v>11.536</v>
      </c>
      <c r="I36" s="22">
        <v>16.686</v>
      </c>
      <c r="J36" s="22">
        <v>18.07980586</v>
      </c>
      <c r="K36" s="22">
        <v>16.579</v>
      </c>
      <c r="L36" s="22">
        <v>20.262947970000003</v>
      </c>
      <c r="M36" s="22">
        <v>24.404642759999998</v>
      </c>
      <c r="N36" s="22">
        <v>21.03753</v>
      </c>
      <c r="O36" s="22">
        <v>22.87725</v>
      </c>
      <c r="P36" s="22">
        <v>18.31371944</v>
      </c>
      <c r="Q36" s="22">
        <v>17.168770000000002</v>
      </c>
      <c r="R36" s="22">
        <v>17.95082</v>
      </c>
      <c r="S36" s="22">
        <v>15.831</v>
      </c>
      <c r="T36" s="22">
        <v>12.95949</v>
      </c>
      <c r="U36" s="22">
        <v>13.23948</v>
      </c>
      <c r="V36" s="5"/>
      <c r="W36" s="5"/>
      <c r="X36" s="5"/>
      <c r="Y36" s="5"/>
      <c r="Z36" s="5"/>
    </row>
    <row r="37" ht="15.75" customHeight="1">
      <c r="A37" s="37" t="s">
        <v>90</v>
      </c>
      <c r="B37" s="38" t="s">
        <v>91</v>
      </c>
      <c r="C37" s="22">
        <v>49.504</v>
      </c>
      <c r="D37" s="22">
        <v>54.681</v>
      </c>
      <c r="E37" s="22">
        <v>55.755</v>
      </c>
      <c r="F37" s="22">
        <v>57.25</v>
      </c>
      <c r="G37" s="22">
        <v>59.101</v>
      </c>
      <c r="H37" s="22">
        <v>61.206</v>
      </c>
      <c r="I37" s="22">
        <v>64.958</v>
      </c>
      <c r="J37" s="22">
        <v>70.63832159</v>
      </c>
      <c r="K37" s="22">
        <v>79.173</v>
      </c>
      <c r="L37" s="22">
        <v>85.38015896</v>
      </c>
      <c r="M37" s="22">
        <v>93.08079988</v>
      </c>
      <c r="N37" s="22">
        <v>103.63531</v>
      </c>
      <c r="O37" s="22">
        <v>110.39034</v>
      </c>
      <c r="P37" s="22">
        <v>122.38777606999999</v>
      </c>
      <c r="Q37" s="22">
        <v>131.14813</v>
      </c>
      <c r="R37" s="22">
        <v>137.99645</v>
      </c>
      <c r="S37" s="22">
        <v>144.569</v>
      </c>
      <c r="T37" s="22">
        <v>149.10342</v>
      </c>
      <c r="U37" s="22">
        <v>153.60586999999998</v>
      </c>
      <c r="V37" s="5"/>
      <c r="W37" s="5"/>
      <c r="X37" s="5"/>
      <c r="Y37" s="5"/>
      <c r="Z37" s="5"/>
    </row>
    <row r="38" ht="15.75" customHeight="1">
      <c r="A38" s="13" t="s">
        <v>92</v>
      </c>
      <c r="B38" s="21" t="s">
        <v>93</v>
      </c>
      <c r="C38" s="22">
        <f t="shared" ref="C38:U38" si="6">SUM(C30,C32:C37)</f>
        <v>1454.689</v>
      </c>
      <c r="D38" s="22">
        <f t="shared" si="6"/>
        <v>1565.467</v>
      </c>
      <c r="E38" s="22">
        <f t="shared" si="6"/>
        <v>1665.166</v>
      </c>
      <c r="F38" s="22">
        <f t="shared" si="6"/>
        <v>1641.861</v>
      </c>
      <c r="G38" s="22">
        <f t="shared" si="6"/>
        <v>1898.066</v>
      </c>
      <c r="H38" s="22">
        <f t="shared" si="6"/>
        <v>1854.544</v>
      </c>
      <c r="I38" s="22">
        <f t="shared" si="6"/>
        <v>1900.698961</v>
      </c>
      <c r="J38" s="22">
        <f t="shared" si="6"/>
        <v>1948.61448</v>
      </c>
      <c r="K38" s="22">
        <f t="shared" si="6"/>
        <v>2086.464334</v>
      </c>
      <c r="L38" s="22">
        <f t="shared" si="6"/>
        <v>1933.045587</v>
      </c>
      <c r="M38" s="22">
        <f t="shared" si="6"/>
        <v>2112.100091</v>
      </c>
      <c r="N38" s="22">
        <f t="shared" si="6"/>
        <v>2229.81071</v>
      </c>
      <c r="O38" s="22">
        <f t="shared" si="6"/>
        <v>2475.07126</v>
      </c>
      <c r="P38" s="22">
        <f t="shared" si="6"/>
        <v>2269.88262</v>
      </c>
      <c r="Q38" s="22">
        <f t="shared" si="6"/>
        <v>2306.69955</v>
      </c>
      <c r="R38" s="22">
        <f t="shared" si="6"/>
        <v>2323.83057</v>
      </c>
      <c r="S38" s="22">
        <f t="shared" si="6"/>
        <v>2647.871</v>
      </c>
      <c r="T38" s="22">
        <f t="shared" si="6"/>
        <v>2654.07432</v>
      </c>
      <c r="U38" s="22">
        <f t="shared" si="6"/>
        <v>2569.78313</v>
      </c>
      <c r="V38" s="5"/>
      <c r="W38" s="5"/>
      <c r="X38" s="5"/>
      <c r="Y38" s="5"/>
      <c r="Z38" s="5"/>
    </row>
    <row r="39" ht="15.75" customHeight="1">
      <c r="A39" s="13" t="s">
        <v>94</v>
      </c>
      <c r="B39" s="21" t="s">
        <v>95</v>
      </c>
      <c r="C39" s="22">
        <v>-61.844</v>
      </c>
      <c r="D39" s="22">
        <v>-65.94</v>
      </c>
      <c r="E39" s="22">
        <v>-70.306</v>
      </c>
      <c r="F39" s="22">
        <v>-75.727</v>
      </c>
      <c r="G39" s="22">
        <v>-84.519</v>
      </c>
      <c r="H39" s="22">
        <v>-91.408</v>
      </c>
      <c r="I39" s="22">
        <v>-97.909</v>
      </c>
      <c r="J39" s="22">
        <v>-114.29883740000001</v>
      </c>
      <c r="K39" s="22">
        <v>-121.374</v>
      </c>
      <c r="L39" s="22">
        <v>-127.1495527</v>
      </c>
      <c r="M39" s="22">
        <v>-134.0424092</v>
      </c>
      <c r="N39" s="22">
        <v>-142.90106</v>
      </c>
      <c r="O39" s="22">
        <v>-149.51146</v>
      </c>
      <c r="P39" s="22">
        <v>-156.97106</v>
      </c>
      <c r="Q39" s="22">
        <v>-164.16057999999998</v>
      </c>
      <c r="R39" s="22">
        <v>-171.30598999999998</v>
      </c>
      <c r="S39" s="22">
        <v>-176.059</v>
      </c>
      <c r="T39" s="22">
        <v>-181.36415</v>
      </c>
      <c r="U39" s="22">
        <v>-189.6147</v>
      </c>
      <c r="V39" s="5"/>
      <c r="W39" s="5"/>
      <c r="X39" s="5"/>
      <c r="Y39" s="5"/>
      <c r="Z39" s="5"/>
    </row>
    <row r="40" ht="15.75" customHeight="1">
      <c r="A40" s="18" t="s">
        <v>96</v>
      </c>
      <c r="B40" s="19" t="s">
        <v>97</v>
      </c>
      <c r="C40" s="20">
        <v>305.94279961999996</v>
      </c>
      <c r="D40" s="20">
        <v>444.69132157999996</v>
      </c>
      <c r="E40" s="20">
        <v>679.15073</v>
      </c>
      <c r="F40" s="20">
        <v>523.46124208</v>
      </c>
      <c r="G40" s="20">
        <v>293.55752689999997</v>
      </c>
      <c r="H40" s="20">
        <v>494.11897877000007</v>
      </c>
      <c r="I40" s="20">
        <v>629.53824458</v>
      </c>
      <c r="J40" s="20">
        <v>619.2657024900001</v>
      </c>
      <c r="K40" s="20">
        <v>311.13406175</v>
      </c>
      <c r="L40" s="20">
        <v>784.68238762</v>
      </c>
      <c r="M40" s="20">
        <v>274.95485744</v>
      </c>
      <c r="N40" s="20">
        <v>334.89446610000005</v>
      </c>
      <c r="O40" s="20">
        <v>189.47521915000002</v>
      </c>
      <c r="P40" s="20">
        <v>433.08309926</v>
      </c>
      <c r="Q40" s="20">
        <v>386.33088776</v>
      </c>
      <c r="R40" s="20">
        <v>91.23722000000001</v>
      </c>
      <c r="S40" s="20">
        <v>206.10168335</v>
      </c>
      <c r="T40" s="20">
        <v>195.90543323</v>
      </c>
      <c r="U40" s="20">
        <v>336.45193002999997</v>
      </c>
      <c r="V40" s="5"/>
      <c r="W40" s="5"/>
      <c r="X40" s="5"/>
      <c r="Y40" s="5"/>
      <c r="Z40" s="5"/>
    </row>
    <row r="41" ht="15.75" customHeight="1">
      <c r="A41" s="18" t="s">
        <v>98</v>
      </c>
      <c r="B41" s="19" t="s">
        <v>99</v>
      </c>
      <c r="C41" s="27"/>
      <c r="D41" s="27"/>
      <c r="E41" s="27"/>
      <c r="F41" s="27"/>
      <c r="G41" s="27"/>
      <c r="H41" s="27"/>
      <c r="I41" s="27"/>
      <c r="J41" s="27"/>
      <c r="K41" s="27"/>
      <c r="L41" s="27"/>
      <c r="M41" s="27"/>
      <c r="N41" s="27"/>
      <c r="O41" s="27"/>
      <c r="P41" s="27"/>
      <c r="Q41" s="27"/>
      <c r="R41" s="27"/>
      <c r="S41" s="27"/>
      <c r="T41" s="27"/>
      <c r="U41" s="27"/>
      <c r="V41" s="5"/>
      <c r="W41" s="5"/>
      <c r="X41" s="5"/>
      <c r="Y41" s="5"/>
      <c r="Z41" s="5"/>
    </row>
    <row r="42" ht="15.75" customHeight="1">
      <c r="A42" s="13" t="s">
        <v>100</v>
      </c>
      <c r="B42" s="21" t="s">
        <v>100</v>
      </c>
      <c r="C42" s="39">
        <v>0.0073152</v>
      </c>
      <c r="D42" s="39">
        <v>0.005</v>
      </c>
      <c r="E42" s="39">
        <v>0.0063</v>
      </c>
      <c r="F42" s="39">
        <f t="shared" ref="F42:U42" si="7">SUM(F35:F36)/SUM(F30:F36)</f>
        <v>0.007663710526</v>
      </c>
      <c r="G42" s="39">
        <f t="shared" si="7"/>
        <v>0.008743505178</v>
      </c>
      <c r="H42" s="39">
        <f t="shared" si="7"/>
        <v>0.01284699259</v>
      </c>
      <c r="I42" s="39">
        <f t="shared" si="7"/>
        <v>0.01409022327</v>
      </c>
      <c r="J42" s="39">
        <f t="shared" si="7"/>
        <v>0.01475085588</v>
      </c>
      <c r="K42" s="39">
        <f t="shared" si="7"/>
        <v>0.01738163236</v>
      </c>
      <c r="L42" s="39">
        <f t="shared" si="7"/>
        <v>0.01926191423</v>
      </c>
      <c r="M42" s="39">
        <f t="shared" si="7"/>
        <v>0.01628940835</v>
      </c>
      <c r="N42" s="39">
        <f t="shared" si="7"/>
        <v>0.01492148766</v>
      </c>
      <c r="O42" s="39">
        <f t="shared" si="7"/>
        <v>0.01397095892</v>
      </c>
      <c r="P42" s="39">
        <f t="shared" si="7"/>
        <v>0.01370688094</v>
      </c>
      <c r="Q42" s="39">
        <f t="shared" si="7"/>
        <v>0.01264968033</v>
      </c>
      <c r="R42" s="39">
        <f t="shared" si="7"/>
        <v>0.01187365032</v>
      </c>
      <c r="S42" s="39">
        <f t="shared" si="7"/>
        <v>0.009324883694</v>
      </c>
      <c r="T42" s="39">
        <f t="shared" si="7"/>
        <v>0.009459387333</v>
      </c>
      <c r="U42" s="39">
        <f t="shared" si="7"/>
        <v>0.01661039141</v>
      </c>
      <c r="V42" s="5"/>
      <c r="W42" s="5"/>
      <c r="X42" s="5"/>
      <c r="Y42" s="5"/>
      <c r="Z42" s="5"/>
    </row>
    <row r="43" ht="15.75" customHeight="1">
      <c r="A43" s="13" t="s">
        <v>101</v>
      </c>
      <c r="B43" s="21" t="s">
        <v>102</v>
      </c>
      <c r="C43" s="39">
        <v>0.024</v>
      </c>
      <c r="D43" s="39">
        <v>0.03</v>
      </c>
      <c r="E43" s="39">
        <v>0.025</v>
      </c>
      <c r="F43" s="39">
        <v>0.026000000000000002</v>
      </c>
      <c r="G43" s="39">
        <v>0.026000000000000002</v>
      </c>
      <c r="H43" s="39">
        <v>0.026000000000000002</v>
      </c>
      <c r="I43" s="39">
        <v>0.027999999999999997</v>
      </c>
      <c r="J43" s="39">
        <v>0.032</v>
      </c>
      <c r="K43" s="39">
        <v>0.036000000000000004</v>
      </c>
      <c r="L43" s="39">
        <v>0.039</v>
      </c>
      <c r="M43" s="39">
        <v>0.04</v>
      </c>
      <c r="N43" s="39">
        <v>0.040999999999999995</v>
      </c>
      <c r="O43" s="39">
        <v>0.044000000000000004</v>
      </c>
      <c r="P43" s="39">
        <v>0.044000000000000004</v>
      </c>
      <c r="Q43" s="39">
        <v>0.045</v>
      </c>
      <c r="R43" s="39">
        <v>0.045</v>
      </c>
      <c r="S43" s="39">
        <v>0.046</v>
      </c>
      <c r="T43" s="39">
        <v>0.051</v>
      </c>
      <c r="U43" s="39">
        <v>0.054</v>
      </c>
      <c r="V43" s="5"/>
      <c r="W43" s="5"/>
      <c r="X43" s="5"/>
      <c r="Y43" s="5"/>
      <c r="Z43" s="5"/>
    </row>
    <row r="44" ht="15.75" customHeight="1">
      <c r="A44" s="8"/>
      <c r="B44" s="21"/>
      <c r="C44" s="8"/>
      <c r="D44" s="8"/>
      <c r="E44" s="8"/>
      <c r="F44" s="8"/>
      <c r="G44" s="8"/>
      <c r="H44" s="8"/>
      <c r="I44" s="8"/>
      <c r="J44" s="8"/>
      <c r="K44" s="8"/>
      <c r="L44" s="8"/>
      <c r="M44" s="8"/>
      <c r="N44" s="8"/>
      <c r="O44" s="8"/>
      <c r="P44" s="8"/>
      <c r="Q44" s="8"/>
      <c r="R44" s="8"/>
      <c r="S44" s="8"/>
      <c r="T44" s="8"/>
      <c r="U44" s="8"/>
      <c r="V44" s="5"/>
      <c r="W44" s="5"/>
      <c r="X44" s="5"/>
      <c r="Y44" s="5"/>
      <c r="Z44" s="5"/>
    </row>
    <row r="45" ht="15.75" customHeight="1">
      <c r="A45" s="8"/>
      <c r="B45" s="21"/>
      <c r="C45" s="8"/>
      <c r="D45" s="8"/>
      <c r="E45" s="8"/>
      <c r="F45" s="8"/>
      <c r="G45" s="8"/>
      <c r="H45" s="8"/>
      <c r="I45" s="8"/>
      <c r="J45" s="8"/>
      <c r="K45" s="8"/>
      <c r="L45" s="8"/>
      <c r="M45" s="8"/>
      <c r="N45" s="8"/>
      <c r="O45" s="8"/>
      <c r="P45" s="8"/>
      <c r="Q45" s="8"/>
      <c r="R45" s="8"/>
      <c r="S45" s="8"/>
      <c r="T45" s="8"/>
      <c r="U45" s="8"/>
      <c r="V45" s="5"/>
      <c r="W45" s="5"/>
      <c r="X45" s="5"/>
      <c r="Y45" s="5"/>
      <c r="Z45" s="5"/>
    </row>
    <row r="46" ht="15.75" customHeight="1">
      <c r="A46" s="8"/>
      <c r="B46" s="21"/>
      <c r="C46" s="8"/>
      <c r="D46" s="8"/>
      <c r="E46" s="8"/>
      <c r="F46" s="8"/>
      <c r="G46" s="8"/>
      <c r="H46" s="8"/>
      <c r="I46" s="8"/>
      <c r="J46" s="8"/>
      <c r="K46" s="8"/>
      <c r="L46" s="8"/>
      <c r="M46" s="8"/>
      <c r="N46" s="8"/>
      <c r="O46" s="8"/>
      <c r="P46" s="8"/>
      <c r="Q46" s="8"/>
      <c r="R46" s="8"/>
      <c r="S46" s="8"/>
      <c r="T46" s="8"/>
      <c r="U46" s="8"/>
      <c r="V46" s="5"/>
      <c r="W46" s="5"/>
      <c r="X46" s="5"/>
      <c r="Y46" s="5"/>
      <c r="Z46" s="5"/>
    </row>
    <row r="47" ht="15.75" customHeight="1">
      <c r="A47" s="8"/>
      <c r="B47" s="8"/>
      <c r="C47" s="8"/>
      <c r="D47" s="8"/>
      <c r="E47" s="8"/>
      <c r="F47" s="8"/>
      <c r="G47" s="8"/>
      <c r="H47" s="8"/>
      <c r="I47" s="8"/>
      <c r="J47" s="8"/>
      <c r="K47" s="8"/>
      <c r="L47" s="8"/>
      <c r="M47" s="8"/>
      <c r="N47" s="8"/>
      <c r="O47" s="8"/>
      <c r="P47" s="8"/>
      <c r="Q47" s="8"/>
      <c r="R47" s="8"/>
      <c r="S47" s="8"/>
      <c r="T47" s="8"/>
      <c r="U47" s="8"/>
      <c r="V47" s="5"/>
      <c r="W47" s="5"/>
      <c r="X47" s="5"/>
      <c r="Y47" s="5"/>
      <c r="Z47" s="5"/>
    </row>
    <row r="48" ht="15.75" customHeight="1">
      <c r="A48" s="8"/>
      <c r="B48" s="8"/>
      <c r="C48" s="8"/>
      <c r="D48" s="8"/>
      <c r="E48" s="8"/>
      <c r="F48" s="8"/>
      <c r="G48" s="8"/>
      <c r="H48" s="8"/>
      <c r="I48" s="8"/>
      <c r="J48" s="8"/>
      <c r="K48" s="8"/>
      <c r="L48" s="8"/>
      <c r="M48" s="8"/>
      <c r="N48" s="8"/>
      <c r="O48" s="8"/>
      <c r="P48" s="8"/>
      <c r="Q48" s="8"/>
      <c r="R48" s="8"/>
      <c r="S48" s="8"/>
      <c r="T48" s="8"/>
      <c r="U48" s="8"/>
      <c r="V48" s="5"/>
      <c r="W48" s="5"/>
      <c r="X48" s="5"/>
      <c r="Y48" s="5"/>
      <c r="Z48" s="5"/>
    </row>
    <row r="49" ht="15.75" customHeight="1">
      <c r="A49" s="8"/>
      <c r="B49" s="8"/>
      <c r="C49" s="8"/>
      <c r="D49" s="8"/>
      <c r="E49" s="8"/>
      <c r="F49" s="8"/>
      <c r="G49" s="8"/>
      <c r="H49" s="8"/>
      <c r="I49" s="8"/>
      <c r="J49" s="8"/>
      <c r="K49" s="8"/>
      <c r="L49" s="8"/>
      <c r="M49" s="8"/>
      <c r="N49" s="8"/>
      <c r="O49" s="8"/>
      <c r="P49" s="8"/>
      <c r="Q49" s="8"/>
      <c r="R49" s="8"/>
      <c r="S49" s="8"/>
      <c r="T49" s="8"/>
      <c r="U49" s="8"/>
      <c r="V49" s="5"/>
      <c r="W49" s="5"/>
      <c r="X49" s="5"/>
      <c r="Y49" s="5"/>
      <c r="Z49" s="5"/>
    </row>
    <row r="50" ht="15.75" customHeight="1">
      <c r="A50" s="8"/>
      <c r="B50" s="8"/>
      <c r="C50" s="8"/>
      <c r="D50" s="8"/>
      <c r="E50" s="8"/>
      <c r="F50" s="8"/>
      <c r="G50" s="8"/>
      <c r="H50" s="8"/>
      <c r="I50" s="8"/>
      <c r="J50" s="8"/>
      <c r="K50" s="8"/>
      <c r="L50" s="8"/>
      <c r="M50" s="8"/>
      <c r="N50" s="8"/>
      <c r="O50" s="8"/>
      <c r="P50" s="8"/>
      <c r="Q50" s="8"/>
      <c r="R50" s="8"/>
      <c r="S50" s="8"/>
      <c r="T50" s="8"/>
      <c r="U50" s="8"/>
      <c r="V50" s="5"/>
      <c r="W50" s="5"/>
      <c r="X50" s="5"/>
      <c r="Y50" s="5"/>
      <c r="Z50" s="5"/>
    </row>
    <row r="51" ht="15.75" customHeight="1">
      <c r="A51" s="8"/>
      <c r="B51" s="8"/>
      <c r="C51" s="8"/>
      <c r="D51" s="8"/>
      <c r="E51" s="8"/>
      <c r="F51" s="8"/>
      <c r="G51" s="8"/>
      <c r="H51" s="8"/>
      <c r="I51" s="8"/>
      <c r="J51" s="8"/>
      <c r="K51" s="8"/>
      <c r="L51" s="8"/>
      <c r="M51" s="8"/>
      <c r="N51" s="8"/>
      <c r="O51" s="8"/>
      <c r="P51" s="8"/>
      <c r="Q51" s="8"/>
      <c r="R51" s="8"/>
      <c r="S51" s="8"/>
      <c r="T51" s="8"/>
      <c r="U51" s="8"/>
      <c r="V51" s="5"/>
      <c r="W51" s="5"/>
      <c r="X51" s="5"/>
      <c r="Y51" s="5"/>
      <c r="Z51" s="5"/>
    </row>
    <row r="52" ht="15.75" customHeight="1">
      <c r="A52" s="8"/>
      <c r="B52" s="8"/>
      <c r="C52" s="8"/>
      <c r="D52" s="8"/>
      <c r="E52" s="8"/>
      <c r="F52" s="8"/>
      <c r="G52" s="8"/>
      <c r="H52" s="8"/>
      <c r="I52" s="8"/>
      <c r="J52" s="8"/>
      <c r="K52" s="8"/>
      <c r="L52" s="8"/>
      <c r="M52" s="8"/>
      <c r="N52" s="8"/>
      <c r="O52" s="8"/>
      <c r="P52" s="8"/>
      <c r="Q52" s="8"/>
      <c r="R52" s="8"/>
      <c r="S52" s="8"/>
      <c r="T52" s="8"/>
      <c r="U52" s="8"/>
      <c r="V52" s="5"/>
      <c r="W52" s="5"/>
      <c r="X52" s="5"/>
      <c r="Y52" s="5"/>
      <c r="Z52" s="5"/>
    </row>
    <row r="53" ht="15.75" customHeight="1">
      <c r="A53" s="8"/>
      <c r="B53" s="8"/>
      <c r="C53" s="8"/>
      <c r="D53" s="8"/>
      <c r="E53" s="8"/>
      <c r="F53" s="8"/>
      <c r="G53" s="8"/>
      <c r="H53" s="8"/>
      <c r="I53" s="8"/>
      <c r="J53" s="8"/>
      <c r="K53" s="8"/>
      <c r="L53" s="8"/>
      <c r="M53" s="8"/>
      <c r="N53" s="8"/>
      <c r="O53" s="8"/>
      <c r="P53" s="8"/>
      <c r="Q53" s="8"/>
      <c r="R53" s="8"/>
      <c r="S53" s="8"/>
      <c r="T53" s="8"/>
      <c r="U53" s="8"/>
      <c r="V53" s="5"/>
      <c r="W53" s="5"/>
      <c r="X53" s="5"/>
      <c r="Y53" s="5"/>
      <c r="Z53" s="5"/>
    </row>
    <row r="54" ht="15.75" customHeight="1">
      <c r="A54" s="8"/>
      <c r="B54" s="8"/>
      <c r="C54" s="8"/>
      <c r="D54" s="8"/>
      <c r="E54" s="8"/>
      <c r="F54" s="8"/>
      <c r="G54" s="8"/>
      <c r="H54" s="8"/>
      <c r="I54" s="8"/>
      <c r="J54" s="8"/>
      <c r="K54" s="8"/>
      <c r="L54" s="8"/>
      <c r="M54" s="8"/>
      <c r="N54" s="8"/>
      <c r="O54" s="8"/>
      <c r="P54" s="8"/>
      <c r="Q54" s="8"/>
      <c r="R54" s="8"/>
      <c r="S54" s="8"/>
      <c r="T54" s="8"/>
      <c r="U54" s="8"/>
      <c r="V54" s="5"/>
      <c r="W54" s="5"/>
      <c r="X54" s="5"/>
      <c r="Y54" s="5"/>
      <c r="Z54" s="5"/>
    </row>
    <row r="55" ht="15.75" customHeight="1">
      <c r="A55" s="8"/>
      <c r="B55" s="8"/>
      <c r="C55" s="8"/>
      <c r="D55" s="8"/>
      <c r="E55" s="8"/>
      <c r="F55" s="8"/>
      <c r="G55" s="8"/>
      <c r="H55" s="8"/>
      <c r="I55" s="8"/>
      <c r="J55" s="8"/>
      <c r="K55" s="8"/>
      <c r="L55" s="8"/>
      <c r="M55" s="8"/>
      <c r="N55" s="8"/>
      <c r="O55" s="8"/>
      <c r="P55" s="8"/>
      <c r="Q55" s="8"/>
      <c r="R55" s="8"/>
      <c r="S55" s="8"/>
      <c r="T55" s="8"/>
      <c r="U55" s="8"/>
      <c r="V55" s="5"/>
      <c r="W55" s="5"/>
      <c r="X55" s="5"/>
      <c r="Y55" s="5"/>
      <c r="Z55" s="5"/>
    </row>
    <row r="56" ht="15.75" customHeight="1">
      <c r="A56" s="8"/>
      <c r="B56" s="8"/>
      <c r="C56" s="8"/>
      <c r="D56" s="8"/>
      <c r="E56" s="8"/>
      <c r="F56" s="8"/>
      <c r="G56" s="8"/>
      <c r="H56" s="8"/>
      <c r="I56" s="8"/>
      <c r="J56" s="8"/>
      <c r="K56" s="8"/>
      <c r="L56" s="8"/>
      <c r="M56" s="8"/>
      <c r="N56" s="8"/>
      <c r="O56" s="8"/>
      <c r="P56" s="8"/>
      <c r="Q56" s="8"/>
      <c r="R56" s="8"/>
      <c r="S56" s="8"/>
      <c r="T56" s="8"/>
      <c r="U56" s="8"/>
      <c r="V56" s="5"/>
      <c r="W56" s="5"/>
      <c r="X56" s="5"/>
      <c r="Y56" s="5"/>
      <c r="Z56" s="5"/>
    </row>
    <row r="57" ht="15.75" customHeight="1">
      <c r="A57" s="8"/>
      <c r="B57" s="8"/>
      <c r="C57" s="8"/>
      <c r="D57" s="8"/>
      <c r="E57" s="8"/>
      <c r="F57" s="8"/>
      <c r="G57" s="8"/>
      <c r="H57" s="8"/>
      <c r="I57" s="8"/>
      <c r="J57" s="8"/>
      <c r="K57" s="8"/>
      <c r="L57" s="8"/>
      <c r="M57" s="8"/>
      <c r="N57" s="8"/>
      <c r="O57" s="8"/>
      <c r="P57" s="8"/>
      <c r="Q57" s="8"/>
      <c r="R57" s="8"/>
      <c r="S57" s="8"/>
      <c r="T57" s="8"/>
      <c r="U57" s="8"/>
      <c r="V57" s="5"/>
      <c r="W57" s="5"/>
      <c r="X57" s="5"/>
      <c r="Y57" s="5"/>
      <c r="Z57" s="5"/>
    </row>
    <row r="58" ht="15.75" customHeight="1">
      <c r="A58" s="8"/>
      <c r="B58" s="8"/>
      <c r="C58" s="8"/>
      <c r="D58" s="8"/>
      <c r="E58" s="8"/>
      <c r="F58" s="8"/>
      <c r="G58" s="8"/>
      <c r="H58" s="8"/>
      <c r="I58" s="8"/>
      <c r="J58" s="8"/>
      <c r="K58" s="8"/>
      <c r="L58" s="8"/>
      <c r="M58" s="8"/>
      <c r="N58" s="8"/>
      <c r="O58" s="8"/>
      <c r="P58" s="8"/>
      <c r="Q58" s="8"/>
      <c r="R58" s="8"/>
      <c r="S58" s="8"/>
      <c r="T58" s="8"/>
      <c r="U58" s="8"/>
      <c r="V58" s="5"/>
      <c r="W58" s="5"/>
      <c r="X58" s="5"/>
      <c r="Y58" s="5"/>
      <c r="Z58" s="5"/>
    </row>
    <row r="59" ht="15.75" customHeight="1">
      <c r="A59" s="8"/>
      <c r="B59" s="8"/>
      <c r="C59" s="8"/>
      <c r="D59" s="8"/>
      <c r="E59" s="8"/>
      <c r="F59" s="8"/>
      <c r="G59" s="8"/>
      <c r="H59" s="8"/>
      <c r="I59" s="8"/>
      <c r="J59" s="8"/>
      <c r="K59" s="8"/>
      <c r="L59" s="8"/>
      <c r="M59" s="8"/>
      <c r="N59" s="8"/>
      <c r="O59" s="8"/>
      <c r="P59" s="8"/>
      <c r="Q59" s="8"/>
      <c r="R59" s="8"/>
      <c r="S59" s="8"/>
      <c r="T59" s="8"/>
      <c r="U59" s="8"/>
      <c r="V59" s="5"/>
      <c r="W59" s="5"/>
      <c r="X59" s="5"/>
      <c r="Y59" s="5"/>
      <c r="Z59" s="5"/>
    </row>
    <row r="60" ht="15.75" customHeight="1">
      <c r="A60" s="8"/>
      <c r="B60" s="8"/>
      <c r="C60" s="8"/>
      <c r="D60" s="8"/>
      <c r="E60" s="8"/>
      <c r="F60" s="8"/>
      <c r="G60" s="8"/>
      <c r="H60" s="8"/>
      <c r="I60" s="8"/>
      <c r="J60" s="8"/>
      <c r="K60" s="8"/>
      <c r="L60" s="8"/>
      <c r="M60" s="8"/>
      <c r="N60" s="8"/>
      <c r="O60" s="8"/>
      <c r="P60" s="8"/>
      <c r="Q60" s="8"/>
      <c r="R60" s="8"/>
      <c r="S60" s="8"/>
      <c r="T60" s="8"/>
      <c r="U60" s="8"/>
      <c r="V60" s="5"/>
      <c r="W60" s="5"/>
      <c r="X60" s="5"/>
      <c r="Y60" s="5"/>
      <c r="Z60" s="5"/>
    </row>
    <row r="61" ht="15.75" customHeight="1">
      <c r="A61" s="8"/>
      <c r="B61" s="8"/>
      <c r="C61" s="8"/>
      <c r="D61" s="8"/>
      <c r="E61" s="8"/>
      <c r="F61" s="8"/>
      <c r="G61" s="8"/>
      <c r="H61" s="8"/>
      <c r="I61" s="8"/>
      <c r="J61" s="8"/>
      <c r="K61" s="8"/>
      <c r="L61" s="8"/>
      <c r="M61" s="8"/>
      <c r="N61" s="8"/>
      <c r="O61" s="8"/>
      <c r="P61" s="8"/>
      <c r="Q61" s="8"/>
      <c r="R61" s="8"/>
      <c r="S61" s="8"/>
      <c r="T61" s="8"/>
      <c r="U61" s="8"/>
      <c r="V61" s="5"/>
      <c r="W61" s="5"/>
      <c r="X61" s="5"/>
      <c r="Y61" s="5"/>
      <c r="Z61" s="5"/>
    </row>
    <row r="62" ht="15.75" customHeight="1">
      <c r="A62" s="8"/>
      <c r="B62" s="8"/>
      <c r="C62" s="8"/>
      <c r="D62" s="8"/>
      <c r="E62" s="8"/>
      <c r="F62" s="8"/>
      <c r="G62" s="8"/>
      <c r="H62" s="8"/>
      <c r="I62" s="8"/>
      <c r="J62" s="8"/>
      <c r="K62" s="8"/>
      <c r="L62" s="8"/>
      <c r="M62" s="8"/>
      <c r="N62" s="8"/>
      <c r="O62" s="8"/>
      <c r="P62" s="8"/>
      <c r="Q62" s="8"/>
      <c r="R62" s="8"/>
      <c r="S62" s="8"/>
      <c r="T62" s="8"/>
      <c r="U62" s="8"/>
      <c r="V62" s="5"/>
      <c r="W62" s="5"/>
      <c r="X62" s="5"/>
      <c r="Y62" s="5"/>
      <c r="Z62" s="5"/>
    </row>
    <row r="63" ht="15.75" customHeight="1">
      <c r="A63" s="8"/>
      <c r="B63" s="8"/>
      <c r="C63" s="8"/>
      <c r="D63" s="8"/>
      <c r="E63" s="8"/>
      <c r="F63" s="8"/>
      <c r="G63" s="8"/>
      <c r="H63" s="8"/>
      <c r="I63" s="8"/>
      <c r="J63" s="8"/>
      <c r="K63" s="8"/>
      <c r="L63" s="8"/>
      <c r="M63" s="8"/>
      <c r="N63" s="8"/>
      <c r="O63" s="8"/>
      <c r="P63" s="8"/>
      <c r="Q63" s="8"/>
      <c r="R63" s="8"/>
      <c r="S63" s="8"/>
      <c r="T63" s="8"/>
      <c r="U63" s="8"/>
      <c r="V63" s="5"/>
      <c r="W63" s="5"/>
      <c r="X63" s="5"/>
      <c r="Y63" s="5"/>
      <c r="Z63" s="5"/>
    </row>
    <row r="64" ht="15.75" customHeight="1">
      <c r="A64" s="8"/>
      <c r="B64" s="8"/>
      <c r="C64" s="8"/>
      <c r="D64" s="8"/>
      <c r="E64" s="8"/>
      <c r="F64" s="8"/>
      <c r="G64" s="8"/>
      <c r="H64" s="8"/>
      <c r="I64" s="8"/>
      <c r="J64" s="8"/>
      <c r="K64" s="8"/>
      <c r="L64" s="8"/>
      <c r="M64" s="8"/>
      <c r="N64" s="8"/>
      <c r="O64" s="8"/>
      <c r="P64" s="8"/>
      <c r="Q64" s="8"/>
      <c r="R64" s="8"/>
      <c r="S64" s="8"/>
      <c r="T64" s="8"/>
      <c r="U64" s="8"/>
      <c r="V64" s="5"/>
      <c r="W64" s="5"/>
      <c r="X64" s="5"/>
      <c r="Y64" s="5"/>
      <c r="Z64" s="5"/>
    </row>
    <row r="65" ht="15.75" customHeight="1">
      <c r="A65" s="8"/>
      <c r="B65" s="8"/>
      <c r="C65" s="8"/>
      <c r="D65" s="8"/>
      <c r="E65" s="8"/>
      <c r="F65" s="8"/>
      <c r="G65" s="8"/>
      <c r="H65" s="8"/>
      <c r="I65" s="8"/>
      <c r="J65" s="8"/>
      <c r="K65" s="8"/>
      <c r="L65" s="8"/>
      <c r="M65" s="8"/>
      <c r="N65" s="8"/>
      <c r="O65" s="8"/>
      <c r="P65" s="8"/>
      <c r="Q65" s="8"/>
      <c r="R65" s="8"/>
      <c r="S65" s="8"/>
      <c r="T65" s="8"/>
      <c r="U65" s="8"/>
      <c r="V65" s="5"/>
      <c r="W65" s="5"/>
      <c r="X65" s="5"/>
      <c r="Y65" s="5"/>
      <c r="Z65" s="5"/>
    </row>
    <row r="66" ht="15.75" customHeight="1">
      <c r="A66" s="8"/>
      <c r="B66" s="8"/>
      <c r="C66" s="8"/>
      <c r="D66" s="8"/>
      <c r="E66" s="8"/>
      <c r="F66" s="8"/>
      <c r="G66" s="8"/>
      <c r="H66" s="8"/>
      <c r="I66" s="8"/>
      <c r="J66" s="8"/>
      <c r="K66" s="8"/>
      <c r="L66" s="8"/>
      <c r="M66" s="8"/>
      <c r="N66" s="8"/>
      <c r="O66" s="8"/>
      <c r="P66" s="8"/>
      <c r="Q66" s="8"/>
      <c r="R66" s="8"/>
      <c r="S66" s="8"/>
      <c r="T66" s="8"/>
      <c r="U66" s="8"/>
      <c r="V66" s="5"/>
      <c r="W66" s="5"/>
      <c r="X66" s="5"/>
      <c r="Y66" s="5"/>
      <c r="Z66" s="5"/>
    </row>
    <row r="67" ht="15.75" customHeight="1">
      <c r="A67" s="8"/>
      <c r="B67" s="8"/>
      <c r="C67" s="8"/>
      <c r="D67" s="8"/>
      <c r="E67" s="8"/>
      <c r="F67" s="8"/>
      <c r="G67" s="8"/>
      <c r="H67" s="8"/>
      <c r="I67" s="8"/>
      <c r="J67" s="8"/>
      <c r="K67" s="8"/>
      <c r="L67" s="8"/>
      <c r="M67" s="8"/>
      <c r="N67" s="8"/>
      <c r="O67" s="8"/>
      <c r="P67" s="8"/>
      <c r="Q67" s="8"/>
      <c r="R67" s="8"/>
      <c r="S67" s="8"/>
      <c r="T67" s="8"/>
      <c r="U67" s="8"/>
      <c r="V67" s="5"/>
      <c r="W67" s="5"/>
      <c r="X67" s="5"/>
      <c r="Y67" s="5"/>
      <c r="Z67" s="5"/>
    </row>
    <row r="68" ht="15.75" customHeight="1">
      <c r="A68" s="8"/>
      <c r="B68" s="8"/>
      <c r="C68" s="8"/>
      <c r="D68" s="8"/>
      <c r="E68" s="8"/>
      <c r="F68" s="8"/>
      <c r="G68" s="8"/>
      <c r="H68" s="8"/>
      <c r="I68" s="8"/>
      <c r="J68" s="8"/>
      <c r="K68" s="8"/>
      <c r="L68" s="8"/>
      <c r="M68" s="8"/>
      <c r="N68" s="8"/>
      <c r="O68" s="8"/>
      <c r="P68" s="8"/>
      <c r="Q68" s="8"/>
      <c r="R68" s="8"/>
      <c r="S68" s="8"/>
      <c r="T68" s="8"/>
      <c r="U68" s="8"/>
      <c r="V68" s="5"/>
      <c r="W68" s="5"/>
      <c r="X68" s="5"/>
      <c r="Y68" s="5"/>
      <c r="Z68" s="5"/>
    </row>
    <row r="69" ht="15.75" customHeight="1">
      <c r="A69" s="8"/>
      <c r="B69" s="8"/>
      <c r="C69" s="8"/>
      <c r="D69" s="8"/>
      <c r="E69" s="8"/>
      <c r="F69" s="8"/>
      <c r="G69" s="8"/>
      <c r="H69" s="8"/>
      <c r="I69" s="8"/>
      <c r="J69" s="8"/>
      <c r="K69" s="8"/>
      <c r="L69" s="8"/>
      <c r="M69" s="8"/>
      <c r="N69" s="8"/>
      <c r="O69" s="8"/>
      <c r="P69" s="8"/>
      <c r="Q69" s="8"/>
      <c r="R69" s="8"/>
      <c r="S69" s="8"/>
      <c r="T69" s="8"/>
      <c r="U69" s="8"/>
      <c r="V69" s="5"/>
      <c r="W69" s="5"/>
      <c r="X69" s="5"/>
      <c r="Y69" s="5"/>
      <c r="Z69" s="5"/>
    </row>
    <row r="70" ht="15.75" customHeight="1">
      <c r="A70" s="8"/>
      <c r="B70" s="8"/>
      <c r="C70" s="8"/>
      <c r="D70" s="8"/>
      <c r="E70" s="8"/>
      <c r="F70" s="8"/>
      <c r="G70" s="8"/>
      <c r="H70" s="8"/>
      <c r="I70" s="8"/>
      <c r="J70" s="8"/>
      <c r="K70" s="8"/>
      <c r="L70" s="8"/>
      <c r="M70" s="8"/>
      <c r="N70" s="8"/>
      <c r="O70" s="8"/>
      <c r="P70" s="8"/>
      <c r="Q70" s="8"/>
      <c r="R70" s="8"/>
      <c r="S70" s="8"/>
      <c r="T70" s="8"/>
      <c r="U70" s="8"/>
      <c r="V70" s="5"/>
      <c r="W70" s="5"/>
      <c r="X70" s="5"/>
      <c r="Y70" s="5"/>
      <c r="Z70" s="5"/>
    </row>
    <row r="71" ht="15.75" customHeight="1">
      <c r="A71" s="8"/>
      <c r="B71" s="8"/>
      <c r="C71" s="8"/>
      <c r="D71" s="8"/>
      <c r="E71" s="8"/>
      <c r="F71" s="8"/>
      <c r="G71" s="8"/>
      <c r="H71" s="8"/>
      <c r="I71" s="8"/>
      <c r="J71" s="8"/>
      <c r="K71" s="8"/>
      <c r="L71" s="8"/>
      <c r="M71" s="8"/>
      <c r="N71" s="8"/>
      <c r="O71" s="8"/>
      <c r="P71" s="8"/>
      <c r="Q71" s="8"/>
      <c r="R71" s="8"/>
      <c r="S71" s="8"/>
      <c r="T71" s="8"/>
      <c r="U71" s="8"/>
      <c r="V71" s="5"/>
      <c r="W71" s="5"/>
      <c r="X71" s="5"/>
      <c r="Y71" s="5"/>
      <c r="Z71" s="5"/>
    </row>
    <row r="72" ht="15.75" customHeight="1">
      <c r="A72" s="8"/>
      <c r="B72" s="8"/>
      <c r="C72" s="8"/>
      <c r="D72" s="8"/>
      <c r="E72" s="8"/>
      <c r="F72" s="8"/>
      <c r="G72" s="8"/>
      <c r="H72" s="8"/>
      <c r="I72" s="8"/>
      <c r="J72" s="8"/>
      <c r="K72" s="8"/>
      <c r="L72" s="8"/>
      <c r="M72" s="8"/>
      <c r="N72" s="8"/>
      <c r="O72" s="8"/>
      <c r="P72" s="8"/>
      <c r="Q72" s="8"/>
      <c r="R72" s="8"/>
      <c r="S72" s="8"/>
      <c r="T72" s="8"/>
      <c r="U72" s="8"/>
      <c r="V72" s="5"/>
      <c r="W72" s="5"/>
      <c r="X72" s="5"/>
      <c r="Y72" s="5"/>
      <c r="Z72" s="5"/>
    </row>
    <row r="73" ht="15.75" customHeight="1">
      <c r="A73" s="8"/>
      <c r="B73" s="8"/>
      <c r="C73" s="8"/>
      <c r="D73" s="8"/>
      <c r="E73" s="8"/>
      <c r="F73" s="8"/>
      <c r="G73" s="8"/>
      <c r="H73" s="8"/>
      <c r="I73" s="8"/>
      <c r="J73" s="8"/>
      <c r="K73" s="8"/>
      <c r="L73" s="8"/>
      <c r="M73" s="8"/>
      <c r="N73" s="8"/>
      <c r="O73" s="8"/>
      <c r="P73" s="8"/>
      <c r="Q73" s="8"/>
      <c r="R73" s="8"/>
      <c r="S73" s="8"/>
      <c r="T73" s="8"/>
      <c r="U73" s="8"/>
      <c r="V73" s="5"/>
      <c r="W73" s="5"/>
      <c r="X73" s="5"/>
      <c r="Y73" s="5"/>
      <c r="Z73" s="5"/>
    </row>
    <row r="74" ht="15.75" customHeight="1">
      <c r="A74" s="8"/>
      <c r="B74" s="8"/>
      <c r="C74" s="8"/>
      <c r="D74" s="8"/>
      <c r="E74" s="8"/>
      <c r="F74" s="8"/>
      <c r="G74" s="8"/>
      <c r="H74" s="8"/>
      <c r="I74" s="8"/>
      <c r="J74" s="8"/>
      <c r="K74" s="8"/>
      <c r="L74" s="8"/>
      <c r="M74" s="8"/>
      <c r="N74" s="8"/>
      <c r="O74" s="8"/>
      <c r="P74" s="8"/>
      <c r="Q74" s="8"/>
      <c r="R74" s="8"/>
      <c r="S74" s="8"/>
      <c r="T74" s="8"/>
      <c r="U74" s="8"/>
      <c r="V74" s="5"/>
      <c r="W74" s="5"/>
      <c r="X74" s="5"/>
      <c r="Y74" s="5"/>
      <c r="Z74" s="5"/>
    </row>
    <row r="75" ht="15.75" customHeight="1">
      <c r="A75" s="8"/>
      <c r="B75" s="8"/>
      <c r="C75" s="8"/>
      <c r="D75" s="8"/>
      <c r="E75" s="8"/>
      <c r="F75" s="8"/>
      <c r="G75" s="8"/>
      <c r="H75" s="8"/>
      <c r="I75" s="8"/>
      <c r="J75" s="8"/>
      <c r="K75" s="8"/>
      <c r="L75" s="8"/>
      <c r="M75" s="8"/>
      <c r="N75" s="8"/>
      <c r="O75" s="8"/>
      <c r="P75" s="8"/>
      <c r="Q75" s="8"/>
      <c r="R75" s="8"/>
      <c r="S75" s="8"/>
      <c r="T75" s="8"/>
      <c r="U75" s="8"/>
      <c r="V75" s="5"/>
      <c r="W75" s="5"/>
      <c r="X75" s="5"/>
      <c r="Y75" s="5"/>
      <c r="Z75" s="5"/>
    </row>
    <row r="76" ht="15.75" customHeight="1">
      <c r="A76" s="8"/>
      <c r="B76" s="8"/>
      <c r="C76" s="8"/>
      <c r="D76" s="8"/>
      <c r="E76" s="8"/>
      <c r="F76" s="8"/>
      <c r="G76" s="8"/>
      <c r="H76" s="8"/>
      <c r="I76" s="8"/>
      <c r="J76" s="8"/>
      <c r="K76" s="8"/>
      <c r="L76" s="8"/>
      <c r="M76" s="8"/>
      <c r="N76" s="8"/>
      <c r="O76" s="8"/>
      <c r="P76" s="8"/>
      <c r="Q76" s="8"/>
      <c r="R76" s="8"/>
      <c r="S76" s="8"/>
      <c r="T76" s="8"/>
      <c r="U76" s="8"/>
      <c r="V76" s="5"/>
      <c r="W76" s="5"/>
      <c r="X76" s="5"/>
      <c r="Y76" s="5"/>
      <c r="Z76" s="5"/>
    </row>
    <row r="77" ht="15.75" customHeight="1">
      <c r="A77" s="8"/>
      <c r="B77" s="8"/>
      <c r="C77" s="8"/>
      <c r="D77" s="8"/>
      <c r="E77" s="8"/>
      <c r="F77" s="8"/>
      <c r="G77" s="8"/>
      <c r="H77" s="8"/>
      <c r="I77" s="8"/>
      <c r="J77" s="8"/>
      <c r="K77" s="8"/>
      <c r="L77" s="8"/>
      <c r="M77" s="8"/>
      <c r="N77" s="8"/>
      <c r="O77" s="8"/>
      <c r="P77" s="8"/>
      <c r="Q77" s="8"/>
      <c r="R77" s="8"/>
      <c r="S77" s="8"/>
      <c r="T77" s="8"/>
      <c r="U77" s="8"/>
      <c r="V77" s="5"/>
      <c r="W77" s="5"/>
      <c r="X77" s="5"/>
      <c r="Y77" s="5"/>
      <c r="Z77" s="5"/>
    </row>
    <row r="78" ht="15.75" customHeight="1">
      <c r="A78" s="8"/>
      <c r="B78" s="8"/>
      <c r="C78" s="8"/>
      <c r="D78" s="8"/>
      <c r="E78" s="8"/>
      <c r="F78" s="8"/>
      <c r="G78" s="8"/>
      <c r="H78" s="8"/>
      <c r="I78" s="8"/>
      <c r="J78" s="8"/>
      <c r="K78" s="8"/>
      <c r="L78" s="8"/>
      <c r="M78" s="8"/>
      <c r="N78" s="8"/>
      <c r="O78" s="8"/>
      <c r="P78" s="8"/>
      <c r="Q78" s="8"/>
      <c r="R78" s="8"/>
      <c r="S78" s="8"/>
      <c r="T78" s="8"/>
      <c r="U78" s="8"/>
      <c r="V78" s="5"/>
      <c r="W78" s="5"/>
      <c r="X78" s="5"/>
      <c r="Y78" s="5"/>
      <c r="Z78" s="5"/>
    </row>
    <row r="79" ht="15.75" customHeight="1">
      <c r="A79" s="8"/>
      <c r="B79" s="8"/>
      <c r="C79" s="8"/>
      <c r="D79" s="8"/>
      <c r="E79" s="8"/>
      <c r="F79" s="8"/>
      <c r="G79" s="8"/>
      <c r="H79" s="8"/>
      <c r="I79" s="8"/>
      <c r="J79" s="8"/>
      <c r="K79" s="8"/>
      <c r="L79" s="8"/>
      <c r="M79" s="8"/>
      <c r="N79" s="8"/>
      <c r="O79" s="8"/>
      <c r="P79" s="8"/>
      <c r="Q79" s="8"/>
      <c r="R79" s="8"/>
      <c r="S79" s="8"/>
      <c r="T79" s="8"/>
      <c r="U79" s="8"/>
      <c r="V79" s="5"/>
      <c r="W79" s="5"/>
      <c r="X79" s="5"/>
      <c r="Y79" s="5"/>
      <c r="Z79" s="5"/>
    </row>
    <row r="80" ht="15.75" customHeight="1">
      <c r="A80" s="8"/>
      <c r="B80" s="8"/>
      <c r="C80" s="8"/>
      <c r="D80" s="8"/>
      <c r="E80" s="8"/>
      <c r="F80" s="8"/>
      <c r="G80" s="8"/>
      <c r="H80" s="8"/>
      <c r="I80" s="8"/>
      <c r="J80" s="8"/>
      <c r="K80" s="8"/>
      <c r="L80" s="8"/>
      <c r="M80" s="8"/>
      <c r="N80" s="8"/>
      <c r="O80" s="8"/>
      <c r="P80" s="8"/>
      <c r="Q80" s="8"/>
      <c r="R80" s="8"/>
      <c r="S80" s="8"/>
      <c r="T80" s="8"/>
      <c r="U80" s="8"/>
      <c r="V80" s="5"/>
      <c r="W80" s="5"/>
      <c r="X80" s="5"/>
      <c r="Y80" s="5"/>
      <c r="Z80" s="5"/>
    </row>
    <row r="81" ht="15.75" customHeight="1">
      <c r="A81" s="8"/>
      <c r="B81" s="8"/>
      <c r="C81" s="8"/>
      <c r="D81" s="8"/>
      <c r="E81" s="8"/>
      <c r="F81" s="8"/>
      <c r="G81" s="8"/>
      <c r="H81" s="8"/>
      <c r="I81" s="8"/>
      <c r="J81" s="8"/>
      <c r="K81" s="8"/>
      <c r="L81" s="8"/>
      <c r="M81" s="8"/>
      <c r="N81" s="8"/>
      <c r="O81" s="8"/>
      <c r="P81" s="8"/>
      <c r="Q81" s="8"/>
      <c r="R81" s="8"/>
      <c r="S81" s="8"/>
      <c r="T81" s="8"/>
      <c r="U81" s="8"/>
      <c r="V81" s="5"/>
      <c r="W81" s="5"/>
      <c r="X81" s="5"/>
      <c r="Y81" s="5"/>
      <c r="Z81" s="5"/>
    </row>
    <row r="82" ht="15.75" customHeight="1">
      <c r="A82" s="8"/>
      <c r="B82" s="8"/>
      <c r="C82" s="8"/>
      <c r="D82" s="8"/>
      <c r="E82" s="8"/>
      <c r="F82" s="8"/>
      <c r="G82" s="8"/>
      <c r="H82" s="8"/>
      <c r="I82" s="8"/>
      <c r="J82" s="8"/>
      <c r="K82" s="8"/>
      <c r="L82" s="8"/>
      <c r="M82" s="8"/>
      <c r="N82" s="8"/>
      <c r="O82" s="8"/>
      <c r="P82" s="8"/>
      <c r="Q82" s="8"/>
      <c r="R82" s="8"/>
      <c r="S82" s="8"/>
      <c r="T82" s="8"/>
      <c r="U82" s="8"/>
      <c r="V82" s="5"/>
      <c r="W82" s="5"/>
      <c r="X82" s="5"/>
      <c r="Y82" s="5"/>
      <c r="Z82" s="5"/>
    </row>
    <row r="83" ht="15.75" customHeight="1">
      <c r="A83" s="8"/>
      <c r="B83" s="8"/>
      <c r="C83" s="8"/>
      <c r="D83" s="8"/>
      <c r="E83" s="8"/>
      <c r="F83" s="8"/>
      <c r="G83" s="8"/>
      <c r="H83" s="8"/>
      <c r="I83" s="8"/>
      <c r="J83" s="8"/>
      <c r="K83" s="8"/>
      <c r="L83" s="8"/>
      <c r="M83" s="8"/>
      <c r="N83" s="8"/>
      <c r="O83" s="8"/>
      <c r="P83" s="8"/>
      <c r="Q83" s="8"/>
      <c r="R83" s="8"/>
      <c r="S83" s="8"/>
      <c r="T83" s="8"/>
      <c r="U83" s="8"/>
      <c r="V83" s="5"/>
      <c r="W83" s="5"/>
      <c r="X83" s="5"/>
      <c r="Y83" s="5"/>
      <c r="Z83" s="5"/>
    </row>
    <row r="84" ht="15.75" customHeight="1">
      <c r="A84" s="8"/>
      <c r="B84" s="8"/>
      <c r="C84" s="8"/>
      <c r="D84" s="8"/>
      <c r="E84" s="8"/>
      <c r="F84" s="8"/>
      <c r="G84" s="8"/>
      <c r="H84" s="8"/>
      <c r="I84" s="8"/>
      <c r="J84" s="8"/>
      <c r="K84" s="8"/>
      <c r="L84" s="8"/>
      <c r="M84" s="8"/>
      <c r="N84" s="8"/>
      <c r="O84" s="8"/>
      <c r="P84" s="8"/>
      <c r="Q84" s="8"/>
      <c r="R84" s="8"/>
      <c r="S84" s="8"/>
      <c r="T84" s="8"/>
      <c r="U84" s="8"/>
      <c r="V84" s="5"/>
      <c r="W84" s="5"/>
      <c r="X84" s="5"/>
      <c r="Y84" s="5"/>
      <c r="Z84" s="5"/>
    </row>
    <row r="85" ht="15.75" customHeight="1">
      <c r="A85" s="8"/>
      <c r="B85" s="8"/>
      <c r="C85" s="8"/>
      <c r="D85" s="8"/>
      <c r="E85" s="8"/>
      <c r="F85" s="8"/>
      <c r="G85" s="8"/>
      <c r="H85" s="8"/>
      <c r="I85" s="8"/>
      <c r="J85" s="8"/>
      <c r="K85" s="8"/>
      <c r="L85" s="8"/>
      <c r="M85" s="8"/>
      <c r="N85" s="8"/>
      <c r="O85" s="8"/>
      <c r="P85" s="8"/>
      <c r="Q85" s="8"/>
      <c r="R85" s="8"/>
      <c r="S85" s="8"/>
      <c r="T85" s="8"/>
      <c r="U85" s="8"/>
      <c r="V85" s="5"/>
      <c r="W85" s="5"/>
      <c r="X85" s="5"/>
      <c r="Y85" s="5"/>
      <c r="Z85" s="5"/>
    </row>
    <row r="86" ht="15.75" customHeight="1">
      <c r="A86" s="8"/>
      <c r="B86" s="8"/>
      <c r="C86" s="8"/>
      <c r="D86" s="8"/>
      <c r="E86" s="8"/>
      <c r="F86" s="8"/>
      <c r="G86" s="8"/>
      <c r="H86" s="8"/>
      <c r="I86" s="8"/>
      <c r="J86" s="8"/>
      <c r="K86" s="8"/>
      <c r="L86" s="8"/>
      <c r="M86" s="8"/>
      <c r="N86" s="8"/>
      <c r="O86" s="8"/>
      <c r="P86" s="8"/>
      <c r="Q86" s="8"/>
      <c r="R86" s="8"/>
      <c r="S86" s="8"/>
      <c r="T86" s="8"/>
      <c r="U86" s="8"/>
      <c r="V86" s="5"/>
      <c r="W86" s="5"/>
      <c r="X86" s="5"/>
      <c r="Y86" s="5"/>
      <c r="Z86" s="5"/>
    </row>
    <row r="87" ht="15.75" customHeight="1">
      <c r="A87" s="8"/>
      <c r="B87" s="8"/>
      <c r="C87" s="8"/>
      <c r="D87" s="8"/>
      <c r="E87" s="8"/>
      <c r="F87" s="8"/>
      <c r="G87" s="8"/>
      <c r="H87" s="8"/>
      <c r="I87" s="8"/>
      <c r="J87" s="8"/>
      <c r="K87" s="8"/>
      <c r="L87" s="8"/>
      <c r="M87" s="8"/>
      <c r="N87" s="8"/>
      <c r="O87" s="8"/>
      <c r="P87" s="8"/>
      <c r="Q87" s="8"/>
      <c r="R87" s="8"/>
      <c r="S87" s="8"/>
      <c r="T87" s="8"/>
      <c r="U87" s="8"/>
      <c r="V87" s="5"/>
      <c r="W87" s="5"/>
      <c r="X87" s="5"/>
      <c r="Y87" s="5"/>
      <c r="Z87" s="5"/>
    </row>
    <row r="88" ht="15.75" customHeight="1">
      <c r="A88" s="8"/>
      <c r="B88" s="8"/>
      <c r="C88" s="8"/>
      <c r="D88" s="8"/>
      <c r="E88" s="8"/>
      <c r="F88" s="8"/>
      <c r="G88" s="8"/>
      <c r="H88" s="8"/>
      <c r="I88" s="8"/>
      <c r="J88" s="8"/>
      <c r="K88" s="8"/>
      <c r="L88" s="8"/>
      <c r="M88" s="8"/>
      <c r="N88" s="8"/>
      <c r="O88" s="8"/>
      <c r="P88" s="8"/>
      <c r="Q88" s="8"/>
      <c r="R88" s="8"/>
      <c r="S88" s="8"/>
      <c r="T88" s="8"/>
      <c r="U88" s="8"/>
      <c r="V88" s="5"/>
      <c r="W88" s="5"/>
      <c r="X88" s="5"/>
      <c r="Y88" s="5"/>
      <c r="Z88" s="5"/>
    </row>
    <row r="89" ht="15.75" customHeight="1">
      <c r="A89" s="8"/>
      <c r="B89" s="8"/>
      <c r="C89" s="8"/>
      <c r="D89" s="8"/>
      <c r="E89" s="8"/>
      <c r="F89" s="8"/>
      <c r="G89" s="8"/>
      <c r="H89" s="8"/>
      <c r="I89" s="8"/>
      <c r="J89" s="8"/>
      <c r="K89" s="8"/>
      <c r="L89" s="8"/>
      <c r="M89" s="8"/>
      <c r="N89" s="8"/>
      <c r="O89" s="8"/>
      <c r="P89" s="8"/>
      <c r="Q89" s="8"/>
      <c r="R89" s="8"/>
      <c r="S89" s="8"/>
      <c r="T89" s="8"/>
      <c r="U89" s="8"/>
      <c r="V89" s="5"/>
      <c r="W89" s="5"/>
      <c r="X89" s="5"/>
      <c r="Y89" s="5"/>
      <c r="Z89" s="5"/>
    </row>
    <row r="90" ht="15.75" customHeight="1">
      <c r="A90" s="8"/>
      <c r="B90" s="8"/>
      <c r="C90" s="8"/>
      <c r="D90" s="8"/>
      <c r="E90" s="8"/>
      <c r="F90" s="8"/>
      <c r="G90" s="8"/>
      <c r="H90" s="8"/>
      <c r="I90" s="8"/>
      <c r="J90" s="8"/>
      <c r="K90" s="8"/>
      <c r="L90" s="8"/>
      <c r="M90" s="8"/>
      <c r="N90" s="8"/>
      <c r="O90" s="8"/>
      <c r="P90" s="8"/>
      <c r="Q90" s="8"/>
      <c r="R90" s="8"/>
      <c r="S90" s="8"/>
      <c r="T90" s="8"/>
      <c r="U90" s="8"/>
      <c r="V90" s="5"/>
      <c r="W90" s="5"/>
      <c r="X90" s="5"/>
      <c r="Y90" s="5"/>
      <c r="Z90" s="5"/>
    </row>
    <row r="91" ht="15.75" customHeight="1">
      <c r="A91" s="8"/>
      <c r="B91" s="8"/>
      <c r="C91" s="8"/>
      <c r="D91" s="8"/>
      <c r="E91" s="8"/>
      <c r="F91" s="8"/>
      <c r="G91" s="8"/>
      <c r="H91" s="8"/>
      <c r="I91" s="8"/>
      <c r="J91" s="8"/>
      <c r="K91" s="8"/>
      <c r="L91" s="8"/>
      <c r="M91" s="8"/>
      <c r="N91" s="8"/>
      <c r="O91" s="8"/>
      <c r="P91" s="8"/>
      <c r="Q91" s="8"/>
      <c r="R91" s="8"/>
      <c r="S91" s="8"/>
      <c r="T91" s="8"/>
      <c r="U91" s="8"/>
      <c r="V91" s="5"/>
      <c r="W91" s="5"/>
      <c r="X91" s="5"/>
      <c r="Y91" s="5"/>
      <c r="Z91" s="5"/>
    </row>
    <row r="92" ht="15.75" customHeight="1">
      <c r="A92" s="8"/>
      <c r="B92" s="8"/>
      <c r="C92" s="8"/>
      <c r="D92" s="8"/>
      <c r="E92" s="8"/>
      <c r="F92" s="8"/>
      <c r="G92" s="8"/>
      <c r="H92" s="8"/>
      <c r="I92" s="8"/>
      <c r="J92" s="8"/>
      <c r="K92" s="8"/>
      <c r="L92" s="8"/>
      <c r="M92" s="8"/>
      <c r="N92" s="8"/>
      <c r="O92" s="8"/>
      <c r="P92" s="8"/>
      <c r="Q92" s="8"/>
      <c r="R92" s="8"/>
      <c r="S92" s="8"/>
      <c r="T92" s="8"/>
      <c r="U92" s="8"/>
      <c r="V92" s="5"/>
      <c r="W92" s="5"/>
      <c r="X92" s="5"/>
      <c r="Y92" s="5"/>
      <c r="Z92" s="5"/>
    </row>
    <row r="93" ht="15.75" customHeight="1">
      <c r="A93" s="8"/>
      <c r="B93" s="8"/>
      <c r="C93" s="8"/>
      <c r="D93" s="8"/>
      <c r="E93" s="8"/>
      <c r="F93" s="8"/>
      <c r="G93" s="8"/>
      <c r="H93" s="8"/>
      <c r="I93" s="8"/>
      <c r="J93" s="8"/>
      <c r="K93" s="8"/>
      <c r="L93" s="8"/>
      <c r="M93" s="8"/>
      <c r="N93" s="8"/>
      <c r="O93" s="8"/>
      <c r="P93" s="8"/>
      <c r="Q93" s="8"/>
      <c r="R93" s="8"/>
      <c r="S93" s="8"/>
      <c r="T93" s="8"/>
      <c r="U93" s="8"/>
      <c r="V93" s="5"/>
      <c r="W93" s="5"/>
      <c r="X93" s="5"/>
      <c r="Y93" s="5"/>
      <c r="Z93" s="5"/>
    </row>
    <row r="94" ht="15.75" customHeight="1">
      <c r="A94" s="8"/>
      <c r="B94" s="8"/>
      <c r="C94" s="8"/>
      <c r="D94" s="8"/>
      <c r="E94" s="8"/>
      <c r="F94" s="8"/>
      <c r="G94" s="8"/>
      <c r="H94" s="8"/>
      <c r="I94" s="8"/>
      <c r="J94" s="8"/>
      <c r="K94" s="8"/>
      <c r="L94" s="8"/>
      <c r="M94" s="8"/>
      <c r="N94" s="8"/>
      <c r="O94" s="8"/>
      <c r="P94" s="8"/>
      <c r="Q94" s="8"/>
      <c r="R94" s="8"/>
      <c r="S94" s="8"/>
      <c r="T94" s="8"/>
      <c r="U94" s="8"/>
      <c r="V94" s="5"/>
      <c r="W94" s="5"/>
      <c r="X94" s="5"/>
      <c r="Y94" s="5"/>
      <c r="Z94" s="5"/>
    </row>
    <row r="95" ht="15.75" customHeight="1">
      <c r="A95" s="8"/>
      <c r="B95" s="8"/>
      <c r="C95" s="8"/>
      <c r="D95" s="8"/>
      <c r="E95" s="8"/>
      <c r="F95" s="8"/>
      <c r="G95" s="8"/>
      <c r="H95" s="8"/>
      <c r="I95" s="8"/>
      <c r="J95" s="8"/>
      <c r="K95" s="8"/>
      <c r="L95" s="8"/>
      <c r="M95" s="8"/>
      <c r="N95" s="8"/>
      <c r="O95" s="8"/>
      <c r="P95" s="8"/>
      <c r="Q95" s="8"/>
      <c r="R95" s="8"/>
      <c r="S95" s="8"/>
      <c r="T95" s="8"/>
      <c r="U95" s="8"/>
      <c r="V95" s="5"/>
      <c r="W95" s="5"/>
      <c r="X95" s="5"/>
      <c r="Y95" s="5"/>
      <c r="Z95" s="5"/>
    </row>
    <row r="96" ht="15.75" customHeight="1">
      <c r="A96" s="8"/>
      <c r="B96" s="8"/>
      <c r="C96" s="8"/>
      <c r="D96" s="8"/>
      <c r="E96" s="8"/>
      <c r="F96" s="8"/>
      <c r="G96" s="8"/>
      <c r="H96" s="8"/>
      <c r="I96" s="8"/>
      <c r="J96" s="8"/>
      <c r="K96" s="8"/>
      <c r="L96" s="8"/>
      <c r="M96" s="8"/>
      <c r="N96" s="8"/>
      <c r="O96" s="8"/>
      <c r="P96" s="8"/>
      <c r="Q96" s="8"/>
      <c r="R96" s="8"/>
      <c r="S96" s="8"/>
      <c r="T96" s="8"/>
      <c r="U96" s="8"/>
      <c r="V96" s="5"/>
      <c r="W96" s="5"/>
      <c r="X96" s="5"/>
      <c r="Y96" s="5"/>
      <c r="Z96" s="5"/>
    </row>
    <row r="97" ht="15.75" customHeight="1">
      <c r="A97" s="8"/>
      <c r="B97" s="8"/>
      <c r="C97" s="8"/>
      <c r="D97" s="8"/>
      <c r="E97" s="8"/>
      <c r="F97" s="8"/>
      <c r="G97" s="8"/>
      <c r="H97" s="8"/>
      <c r="I97" s="8"/>
      <c r="J97" s="8"/>
      <c r="K97" s="8"/>
      <c r="L97" s="8"/>
      <c r="M97" s="8"/>
      <c r="N97" s="8"/>
      <c r="O97" s="8"/>
      <c r="P97" s="8"/>
      <c r="Q97" s="8"/>
      <c r="R97" s="8"/>
      <c r="S97" s="8"/>
      <c r="T97" s="8"/>
      <c r="U97" s="8"/>
      <c r="V97" s="5"/>
      <c r="W97" s="5"/>
      <c r="X97" s="5"/>
      <c r="Y97" s="5"/>
      <c r="Z97" s="5"/>
    </row>
    <row r="98" ht="15.75" customHeight="1">
      <c r="A98" s="8"/>
      <c r="B98" s="8"/>
      <c r="C98" s="8"/>
      <c r="D98" s="8"/>
      <c r="E98" s="8"/>
      <c r="F98" s="8"/>
      <c r="G98" s="8"/>
      <c r="H98" s="8"/>
      <c r="I98" s="8"/>
      <c r="J98" s="8"/>
      <c r="K98" s="8"/>
      <c r="L98" s="8"/>
      <c r="M98" s="8"/>
      <c r="N98" s="8"/>
      <c r="O98" s="8"/>
      <c r="P98" s="8"/>
      <c r="Q98" s="8"/>
      <c r="R98" s="8"/>
      <c r="S98" s="8"/>
      <c r="T98" s="8"/>
      <c r="U98" s="8"/>
      <c r="V98" s="5"/>
      <c r="W98" s="5"/>
      <c r="X98" s="5"/>
      <c r="Y98" s="5"/>
      <c r="Z98" s="5"/>
    </row>
    <row r="99" ht="15.75" customHeight="1">
      <c r="A99" s="8"/>
      <c r="B99" s="8"/>
      <c r="C99" s="8"/>
      <c r="D99" s="8"/>
      <c r="E99" s="8"/>
      <c r="F99" s="8"/>
      <c r="G99" s="8"/>
      <c r="H99" s="8"/>
      <c r="I99" s="8"/>
      <c r="J99" s="8"/>
      <c r="K99" s="8"/>
      <c r="L99" s="8"/>
      <c r="M99" s="8"/>
      <c r="N99" s="8"/>
      <c r="O99" s="8"/>
      <c r="P99" s="8"/>
      <c r="Q99" s="8"/>
      <c r="R99" s="8"/>
      <c r="S99" s="8"/>
      <c r="T99" s="8"/>
      <c r="U99" s="8"/>
      <c r="V99" s="5"/>
      <c r="W99" s="5"/>
      <c r="X99" s="5"/>
      <c r="Y99" s="5"/>
      <c r="Z99" s="5"/>
    </row>
    <row r="100" ht="15.75" customHeight="1">
      <c r="A100" s="8"/>
      <c r="B100" s="8"/>
      <c r="C100" s="8"/>
      <c r="D100" s="8"/>
      <c r="E100" s="8"/>
      <c r="F100" s="8"/>
      <c r="G100" s="8"/>
      <c r="H100" s="8"/>
      <c r="I100" s="8"/>
      <c r="J100" s="8"/>
      <c r="K100" s="8"/>
      <c r="L100" s="8"/>
      <c r="M100" s="8"/>
      <c r="N100" s="8"/>
      <c r="O100" s="8"/>
      <c r="P100" s="8"/>
      <c r="Q100" s="8"/>
      <c r="R100" s="8"/>
      <c r="S100" s="8"/>
      <c r="T100" s="8"/>
      <c r="U100" s="8"/>
      <c r="V100" s="5"/>
      <c r="W100" s="5"/>
      <c r="X100" s="5"/>
      <c r="Y100" s="5"/>
      <c r="Z100" s="5"/>
    </row>
    <row r="101" ht="15.75" customHeight="1">
      <c r="A101" s="8"/>
      <c r="B101" s="8"/>
      <c r="C101" s="8"/>
      <c r="D101" s="8"/>
      <c r="E101" s="8"/>
      <c r="F101" s="8"/>
      <c r="G101" s="8"/>
      <c r="H101" s="8"/>
      <c r="I101" s="8"/>
      <c r="J101" s="8"/>
      <c r="K101" s="8"/>
      <c r="L101" s="8"/>
      <c r="M101" s="8"/>
      <c r="N101" s="8"/>
      <c r="O101" s="8"/>
      <c r="P101" s="8"/>
      <c r="Q101" s="8"/>
      <c r="R101" s="8"/>
      <c r="S101" s="8"/>
      <c r="T101" s="8"/>
      <c r="U101" s="8"/>
      <c r="V101" s="5"/>
      <c r="W101" s="5"/>
      <c r="X101" s="5"/>
      <c r="Y101" s="5"/>
      <c r="Z101" s="5"/>
    </row>
    <row r="102" ht="15.75" customHeight="1">
      <c r="A102" s="8"/>
      <c r="B102" s="8"/>
      <c r="C102" s="8"/>
      <c r="D102" s="8"/>
      <c r="E102" s="8"/>
      <c r="F102" s="8"/>
      <c r="G102" s="8"/>
      <c r="H102" s="8"/>
      <c r="I102" s="8"/>
      <c r="J102" s="8"/>
      <c r="K102" s="8"/>
      <c r="L102" s="8"/>
      <c r="M102" s="8"/>
      <c r="N102" s="8"/>
      <c r="O102" s="8"/>
      <c r="P102" s="8"/>
      <c r="Q102" s="8"/>
      <c r="R102" s="8"/>
      <c r="S102" s="8"/>
      <c r="T102" s="8"/>
      <c r="U102" s="8"/>
      <c r="V102" s="5"/>
      <c r="W102" s="5"/>
      <c r="X102" s="5"/>
      <c r="Y102" s="5"/>
      <c r="Z102" s="5"/>
    </row>
    <row r="103" ht="15.75" customHeight="1">
      <c r="A103" s="8"/>
      <c r="B103" s="8"/>
      <c r="C103" s="8"/>
      <c r="D103" s="8"/>
      <c r="E103" s="8"/>
      <c r="F103" s="8"/>
      <c r="G103" s="8"/>
      <c r="H103" s="8"/>
      <c r="I103" s="8"/>
      <c r="J103" s="8"/>
      <c r="K103" s="8"/>
      <c r="L103" s="8"/>
      <c r="M103" s="8"/>
      <c r="N103" s="8"/>
      <c r="O103" s="8"/>
      <c r="P103" s="8"/>
      <c r="Q103" s="8"/>
      <c r="R103" s="8"/>
      <c r="S103" s="8"/>
      <c r="T103" s="8"/>
      <c r="U103" s="8"/>
      <c r="V103" s="5"/>
      <c r="W103" s="5"/>
      <c r="X103" s="5"/>
      <c r="Y103" s="5"/>
      <c r="Z103" s="5"/>
    </row>
    <row r="104" ht="15.75" customHeight="1">
      <c r="A104" s="8"/>
      <c r="B104" s="8"/>
      <c r="C104" s="8"/>
      <c r="D104" s="8"/>
      <c r="E104" s="8"/>
      <c r="F104" s="8"/>
      <c r="G104" s="8"/>
      <c r="H104" s="8"/>
      <c r="I104" s="8"/>
      <c r="J104" s="8"/>
      <c r="K104" s="8"/>
      <c r="L104" s="8"/>
      <c r="M104" s="8"/>
      <c r="N104" s="8"/>
      <c r="O104" s="8"/>
      <c r="P104" s="8"/>
      <c r="Q104" s="8"/>
      <c r="R104" s="8"/>
      <c r="S104" s="8"/>
      <c r="T104" s="8"/>
      <c r="U104" s="8"/>
      <c r="V104" s="5"/>
      <c r="W104" s="5"/>
      <c r="X104" s="5"/>
      <c r="Y104" s="5"/>
      <c r="Z104" s="5"/>
    </row>
    <row r="105" ht="15.75" customHeight="1">
      <c r="A105" s="8"/>
      <c r="B105" s="8"/>
      <c r="C105" s="8"/>
      <c r="D105" s="8"/>
      <c r="E105" s="8"/>
      <c r="F105" s="8"/>
      <c r="G105" s="8"/>
      <c r="H105" s="8"/>
      <c r="I105" s="8"/>
      <c r="J105" s="8"/>
      <c r="K105" s="8"/>
      <c r="L105" s="8"/>
      <c r="M105" s="8"/>
      <c r="N105" s="8"/>
      <c r="O105" s="8"/>
      <c r="P105" s="8"/>
      <c r="Q105" s="8"/>
      <c r="R105" s="8"/>
      <c r="S105" s="8"/>
      <c r="T105" s="8"/>
      <c r="U105" s="8"/>
      <c r="V105" s="5"/>
      <c r="W105" s="5"/>
      <c r="X105" s="5"/>
      <c r="Y105" s="5"/>
      <c r="Z105" s="5"/>
    </row>
    <row r="106" ht="15.75" customHeight="1">
      <c r="A106" s="8"/>
      <c r="B106" s="8"/>
      <c r="C106" s="8"/>
      <c r="D106" s="8"/>
      <c r="E106" s="8"/>
      <c r="F106" s="8"/>
      <c r="G106" s="8"/>
      <c r="H106" s="8"/>
      <c r="I106" s="8"/>
      <c r="J106" s="8"/>
      <c r="K106" s="8"/>
      <c r="L106" s="8"/>
      <c r="M106" s="8"/>
      <c r="N106" s="8"/>
      <c r="O106" s="8"/>
      <c r="P106" s="8"/>
      <c r="Q106" s="8"/>
      <c r="R106" s="8"/>
      <c r="S106" s="8"/>
      <c r="T106" s="8"/>
      <c r="U106" s="8"/>
      <c r="V106" s="5"/>
      <c r="W106" s="5"/>
      <c r="X106" s="5"/>
      <c r="Y106" s="5"/>
      <c r="Z106" s="5"/>
    </row>
    <row r="107" ht="15.75" customHeight="1">
      <c r="A107" s="8"/>
      <c r="B107" s="8"/>
      <c r="C107" s="8"/>
      <c r="D107" s="8"/>
      <c r="E107" s="8"/>
      <c r="F107" s="8"/>
      <c r="G107" s="8"/>
      <c r="H107" s="8"/>
      <c r="I107" s="8"/>
      <c r="J107" s="8"/>
      <c r="K107" s="8"/>
      <c r="L107" s="8"/>
      <c r="M107" s="8"/>
      <c r="N107" s="8"/>
      <c r="O107" s="8"/>
      <c r="P107" s="8"/>
      <c r="Q107" s="8"/>
      <c r="R107" s="8"/>
      <c r="S107" s="8"/>
      <c r="T107" s="8"/>
      <c r="U107" s="8"/>
      <c r="V107" s="5"/>
      <c r="W107" s="5"/>
      <c r="X107" s="5"/>
      <c r="Y107" s="5"/>
      <c r="Z107" s="5"/>
    </row>
    <row r="108" ht="15.75" customHeight="1">
      <c r="A108" s="8"/>
      <c r="B108" s="8"/>
      <c r="C108" s="8"/>
      <c r="D108" s="8"/>
      <c r="E108" s="8"/>
      <c r="F108" s="8"/>
      <c r="G108" s="8"/>
      <c r="H108" s="8"/>
      <c r="I108" s="8"/>
      <c r="J108" s="8"/>
      <c r="K108" s="8"/>
      <c r="L108" s="8"/>
      <c r="M108" s="8"/>
      <c r="N108" s="8"/>
      <c r="O108" s="8"/>
      <c r="P108" s="8"/>
      <c r="Q108" s="8"/>
      <c r="R108" s="8"/>
      <c r="S108" s="8"/>
      <c r="T108" s="8"/>
      <c r="U108" s="8"/>
      <c r="V108" s="5"/>
      <c r="W108" s="5"/>
      <c r="X108" s="5"/>
      <c r="Y108" s="5"/>
      <c r="Z108" s="5"/>
    </row>
    <row r="109" ht="15.75" customHeight="1">
      <c r="A109" s="8"/>
      <c r="B109" s="8"/>
      <c r="C109" s="8"/>
      <c r="D109" s="8"/>
      <c r="E109" s="8"/>
      <c r="F109" s="8"/>
      <c r="G109" s="8"/>
      <c r="H109" s="8"/>
      <c r="I109" s="8"/>
      <c r="J109" s="8"/>
      <c r="K109" s="8"/>
      <c r="L109" s="8"/>
      <c r="M109" s="8"/>
      <c r="N109" s="8"/>
      <c r="O109" s="8"/>
      <c r="P109" s="8"/>
      <c r="Q109" s="8"/>
      <c r="R109" s="8"/>
      <c r="S109" s="8"/>
      <c r="T109" s="8"/>
      <c r="U109" s="8"/>
      <c r="V109" s="5"/>
      <c r="W109" s="5"/>
      <c r="X109" s="5"/>
      <c r="Y109" s="5"/>
      <c r="Z109" s="5"/>
    </row>
    <row r="110" ht="15.75" customHeight="1">
      <c r="A110" s="8"/>
      <c r="B110" s="8"/>
      <c r="C110" s="8"/>
      <c r="D110" s="8"/>
      <c r="E110" s="8"/>
      <c r="F110" s="8"/>
      <c r="G110" s="8"/>
      <c r="H110" s="8"/>
      <c r="I110" s="8"/>
      <c r="J110" s="8"/>
      <c r="K110" s="8"/>
      <c r="L110" s="8"/>
      <c r="M110" s="8"/>
      <c r="N110" s="8"/>
      <c r="O110" s="8"/>
      <c r="P110" s="8"/>
      <c r="Q110" s="8"/>
      <c r="R110" s="8"/>
      <c r="S110" s="8"/>
      <c r="T110" s="8"/>
      <c r="U110" s="8"/>
      <c r="V110" s="5"/>
      <c r="W110" s="5"/>
      <c r="X110" s="5"/>
      <c r="Y110" s="5"/>
      <c r="Z110" s="5"/>
    </row>
    <row r="111" ht="15.75" customHeight="1">
      <c r="A111" s="8"/>
      <c r="B111" s="8"/>
      <c r="C111" s="8"/>
      <c r="D111" s="8"/>
      <c r="E111" s="8"/>
      <c r="F111" s="8"/>
      <c r="G111" s="8"/>
      <c r="H111" s="8"/>
      <c r="I111" s="8"/>
      <c r="J111" s="8"/>
      <c r="K111" s="8"/>
      <c r="L111" s="8"/>
      <c r="M111" s="8"/>
      <c r="N111" s="8"/>
      <c r="O111" s="8"/>
      <c r="P111" s="8"/>
      <c r="Q111" s="8"/>
      <c r="R111" s="8"/>
      <c r="S111" s="8"/>
      <c r="T111" s="8"/>
      <c r="U111" s="8"/>
      <c r="V111" s="5"/>
      <c r="W111" s="5"/>
      <c r="X111" s="5"/>
      <c r="Y111" s="5"/>
      <c r="Z111" s="5"/>
    </row>
    <row r="112" ht="15.75" customHeight="1">
      <c r="A112" s="8"/>
      <c r="B112" s="8"/>
      <c r="C112" s="8"/>
      <c r="D112" s="8"/>
      <c r="E112" s="8"/>
      <c r="F112" s="8"/>
      <c r="G112" s="8"/>
      <c r="H112" s="8"/>
      <c r="I112" s="8"/>
      <c r="J112" s="8"/>
      <c r="K112" s="8"/>
      <c r="L112" s="8"/>
      <c r="M112" s="8"/>
      <c r="N112" s="8"/>
      <c r="O112" s="8"/>
      <c r="P112" s="8"/>
      <c r="Q112" s="8"/>
      <c r="R112" s="8"/>
      <c r="S112" s="8"/>
      <c r="T112" s="8"/>
      <c r="U112" s="8"/>
      <c r="V112" s="5"/>
      <c r="W112" s="5"/>
      <c r="X112" s="5"/>
      <c r="Y112" s="5"/>
      <c r="Z112" s="5"/>
    </row>
    <row r="113" ht="15.75" customHeight="1">
      <c r="A113" s="8"/>
      <c r="B113" s="8"/>
      <c r="C113" s="8"/>
      <c r="D113" s="8"/>
      <c r="E113" s="8"/>
      <c r="F113" s="8"/>
      <c r="G113" s="8"/>
      <c r="H113" s="8"/>
      <c r="I113" s="8"/>
      <c r="J113" s="8"/>
      <c r="K113" s="8"/>
      <c r="L113" s="8"/>
      <c r="M113" s="8"/>
      <c r="N113" s="8"/>
      <c r="O113" s="8"/>
      <c r="P113" s="8"/>
      <c r="Q113" s="8"/>
      <c r="R113" s="8"/>
      <c r="S113" s="8"/>
      <c r="T113" s="8"/>
      <c r="U113" s="8"/>
      <c r="V113" s="5"/>
      <c r="W113" s="5"/>
      <c r="X113" s="5"/>
      <c r="Y113" s="5"/>
      <c r="Z113" s="5"/>
    </row>
    <row r="114" ht="15.75" customHeight="1">
      <c r="A114" s="8"/>
      <c r="B114" s="8"/>
      <c r="C114" s="8"/>
      <c r="D114" s="8"/>
      <c r="E114" s="8"/>
      <c r="F114" s="8"/>
      <c r="G114" s="8"/>
      <c r="H114" s="8"/>
      <c r="I114" s="8"/>
      <c r="J114" s="8"/>
      <c r="K114" s="8"/>
      <c r="L114" s="8"/>
      <c r="M114" s="8"/>
      <c r="N114" s="8"/>
      <c r="O114" s="8"/>
      <c r="P114" s="8"/>
      <c r="Q114" s="8"/>
      <c r="R114" s="8"/>
      <c r="S114" s="8"/>
      <c r="T114" s="8"/>
      <c r="U114" s="8"/>
      <c r="V114" s="5"/>
      <c r="W114" s="5"/>
      <c r="X114" s="5"/>
      <c r="Y114" s="5"/>
      <c r="Z114" s="5"/>
    </row>
    <row r="115" ht="15.75" customHeight="1">
      <c r="A115" s="8"/>
      <c r="B115" s="8"/>
      <c r="C115" s="8"/>
      <c r="D115" s="8"/>
      <c r="E115" s="8"/>
      <c r="F115" s="8"/>
      <c r="G115" s="8"/>
      <c r="H115" s="8"/>
      <c r="I115" s="8"/>
      <c r="J115" s="8"/>
      <c r="K115" s="8"/>
      <c r="L115" s="8"/>
      <c r="M115" s="8"/>
      <c r="N115" s="8"/>
      <c r="O115" s="8"/>
      <c r="P115" s="8"/>
      <c r="Q115" s="8"/>
      <c r="R115" s="8"/>
      <c r="S115" s="8"/>
      <c r="T115" s="8"/>
      <c r="U115" s="8"/>
      <c r="V115" s="5"/>
      <c r="W115" s="5"/>
      <c r="X115" s="5"/>
      <c r="Y115" s="5"/>
      <c r="Z115" s="5"/>
    </row>
    <row r="116" ht="15.75" customHeight="1">
      <c r="A116" s="8"/>
      <c r="B116" s="8"/>
      <c r="C116" s="8"/>
      <c r="D116" s="8"/>
      <c r="E116" s="8"/>
      <c r="F116" s="8"/>
      <c r="G116" s="8"/>
      <c r="H116" s="8"/>
      <c r="I116" s="8"/>
      <c r="J116" s="8"/>
      <c r="K116" s="8"/>
      <c r="L116" s="8"/>
      <c r="M116" s="8"/>
      <c r="N116" s="8"/>
      <c r="O116" s="8"/>
      <c r="P116" s="8"/>
      <c r="Q116" s="8"/>
      <c r="R116" s="8"/>
      <c r="S116" s="8"/>
      <c r="T116" s="8"/>
      <c r="U116" s="8"/>
      <c r="V116" s="5"/>
      <c r="W116" s="5"/>
      <c r="X116" s="5"/>
      <c r="Y116" s="5"/>
      <c r="Z116" s="5"/>
    </row>
    <row r="117" ht="15.75" customHeight="1">
      <c r="A117" s="8"/>
      <c r="B117" s="8"/>
      <c r="C117" s="8"/>
      <c r="D117" s="8"/>
      <c r="E117" s="8"/>
      <c r="F117" s="8"/>
      <c r="G117" s="8"/>
      <c r="H117" s="8"/>
      <c r="I117" s="8"/>
      <c r="J117" s="8"/>
      <c r="K117" s="8"/>
      <c r="L117" s="8"/>
      <c r="M117" s="8"/>
      <c r="N117" s="8"/>
      <c r="O117" s="8"/>
      <c r="P117" s="8"/>
      <c r="Q117" s="8"/>
      <c r="R117" s="8"/>
      <c r="S117" s="8"/>
      <c r="T117" s="8"/>
      <c r="U117" s="8"/>
      <c r="V117" s="5"/>
      <c r="W117" s="5"/>
      <c r="X117" s="5"/>
      <c r="Y117" s="5"/>
      <c r="Z117" s="5"/>
    </row>
    <row r="118" ht="15.75" customHeight="1">
      <c r="A118" s="8"/>
      <c r="B118" s="8"/>
      <c r="C118" s="8"/>
      <c r="D118" s="8"/>
      <c r="E118" s="8"/>
      <c r="F118" s="8"/>
      <c r="G118" s="8"/>
      <c r="H118" s="8"/>
      <c r="I118" s="8"/>
      <c r="J118" s="8"/>
      <c r="K118" s="8"/>
      <c r="L118" s="8"/>
      <c r="M118" s="8"/>
      <c r="N118" s="8"/>
      <c r="O118" s="8"/>
      <c r="P118" s="8"/>
      <c r="Q118" s="8"/>
      <c r="R118" s="8"/>
      <c r="S118" s="8"/>
      <c r="T118" s="8"/>
      <c r="U118" s="8"/>
      <c r="V118" s="5"/>
      <c r="W118" s="5"/>
      <c r="X118" s="5"/>
      <c r="Y118" s="5"/>
      <c r="Z118" s="5"/>
    </row>
    <row r="119" ht="15.75" customHeight="1">
      <c r="A119" s="8"/>
      <c r="B119" s="8"/>
      <c r="C119" s="8"/>
      <c r="D119" s="8"/>
      <c r="E119" s="8"/>
      <c r="F119" s="8"/>
      <c r="G119" s="8"/>
      <c r="H119" s="8"/>
      <c r="I119" s="8"/>
      <c r="J119" s="8"/>
      <c r="K119" s="8"/>
      <c r="L119" s="8"/>
      <c r="M119" s="8"/>
      <c r="N119" s="8"/>
      <c r="O119" s="8"/>
      <c r="P119" s="8"/>
      <c r="Q119" s="8"/>
      <c r="R119" s="8"/>
      <c r="S119" s="8"/>
      <c r="T119" s="8"/>
      <c r="U119" s="8"/>
      <c r="V119" s="5"/>
      <c r="W119" s="5"/>
      <c r="X119" s="5"/>
      <c r="Y119" s="5"/>
      <c r="Z119" s="5"/>
    </row>
    <row r="120" ht="15.75" customHeight="1">
      <c r="A120" s="8"/>
      <c r="B120" s="8"/>
      <c r="C120" s="8"/>
      <c r="D120" s="8"/>
      <c r="E120" s="8"/>
      <c r="F120" s="8"/>
      <c r="G120" s="8"/>
      <c r="H120" s="8"/>
      <c r="I120" s="8"/>
      <c r="J120" s="8"/>
      <c r="K120" s="8"/>
      <c r="L120" s="8"/>
      <c r="M120" s="8"/>
      <c r="N120" s="8"/>
      <c r="O120" s="8"/>
      <c r="P120" s="8"/>
      <c r="Q120" s="8"/>
      <c r="R120" s="8"/>
      <c r="S120" s="8"/>
      <c r="T120" s="8"/>
      <c r="U120" s="8"/>
      <c r="V120" s="5"/>
      <c r="W120" s="5"/>
      <c r="X120" s="5"/>
      <c r="Y120" s="5"/>
      <c r="Z120" s="5"/>
    </row>
    <row r="121" ht="15.75" customHeight="1">
      <c r="A121" s="8"/>
      <c r="B121" s="8"/>
      <c r="C121" s="8"/>
      <c r="D121" s="8"/>
      <c r="E121" s="8"/>
      <c r="F121" s="8"/>
      <c r="G121" s="8"/>
      <c r="H121" s="8"/>
      <c r="I121" s="8"/>
      <c r="J121" s="8"/>
      <c r="K121" s="8"/>
      <c r="L121" s="8"/>
      <c r="M121" s="8"/>
      <c r="N121" s="8"/>
      <c r="O121" s="8"/>
      <c r="P121" s="8"/>
      <c r="Q121" s="8"/>
      <c r="R121" s="8"/>
      <c r="S121" s="8"/>
      <c r="T121" s="8"/>
      <c r="U121" s="8"/>
      <c r="V121" s="5"/>
      <c r="W121" s="5"/>
      <c r="X121" s="5"/>
      <c r="Y121" s="5"/>
      <c r="Z121" s="5"/>
    </row>
    <row r="122" ht="15.75" customHeight="1">
      <c r="A122" s="8"/>
      <c r="B122" s="8"/>
      <c r="C122" s="8"/>
      <c r="D122" s="8"/>
      <c r="E122" s="8"/>
      <c r="F122" s="8"/>
      <c r="G122" s="8"/>
      <c r="H122" s="8"/>
      <c r="I122" s="8"/>
      <c r="J122" s="8"/>
      <c r="K122" s="8"/>
      <c r="L122" s="8"/>
      <c r="M122" s="8"/>
      <c r="N122" s="8"/>
      <c r="O122" s="8"/>
      <c r="P122" s="8"/>
      <c r="Q122" s="8"/>
      <c r="R122" s="8"/>
      <c r="S122" s="8"/>
      <c r="T122" s="8"/>
      <c r="U122" s="8"/>
      <c r="V122" s="5"/>
      <c r="W122" s="5"/>
      <c r="X122" s="5"/>
      <c r="Y122" s="5"/>
      <c r="Z122" s="5"/>
    </row>
    <row r="123" ht="15.75" customHeight="1">
      <c r="A123" s="8"/>
      <c r="B123" s="8"/>
      <c r="C123" s="8"/>
      <c r="D123" s="8"/>
      <c r="E123" s="8"/>
      <c r="F123" s="8"/>
      <c r="G123" s="8"/>
      <c r="H123" s="8"/>
      <c r="I123" s="8"/>
      <c r="J123" s="8"/>
      <c r="K123" s="8"/>
      <c r="L123" s="8"/>
      <c r="M123" s="8"/>
      <c r="N123" s="8"/>
      <c r="O123" s="8"/>
      <c r="P123" s="8"/>
      <c r="Q123" s="8"/>
      <c r="R123" s="8"/>
      <c r="S123" s="8"/>
      <c r="T123" s="8"/>
      <c r="U123" s="8"/>
      <c r="V123" s="5"/>
      <c r="W123" s="5"/>
      <c r="X123" s="5"/>
      <c r="Y123" s="5"/>
      <c r="Z123" s="5"/>
    </row>
    <row r="124" ht="15.75" customHeight="1">
      <c r="A124" s="8"/>
      <c r="B124" s="8"/>
      <c r="C124" s="8"/>
      <c r="D124" s="8"/>
      <c r="E124" s="8"/>
      <c r="F124" s="8"/>
      <c r="G124" s="8"/>
      <c r="H124" s="8"/>
      <c r="I124" s="8"/>
      <c r="J124" s="8"/>
      <c r="K124" s="8"/>
      <c r="L124" s="8"/>
      <c r="M124" s="8"/>
      <c r="N124" s="8"/>
      <c r="O124" s="8"/>
      <c r="P124" s="8"/>
      <c r="Q124" s="8"/>
      <c r="R124" s="8"/>
      <c r="S124" s="8"/>
      <c r="T124" s="8"/>
      <c r="U124" s="8"/>
      <c r="V124" s="5"/>
      <c r="W124" s="5"/>
      <c r="X124" s="5"/>
      <c r="Y124" s="5"/>
      <c r="Z124" s="5"/>
    </row>
    <row r="125" ht="15.75" customHeight="1">
      <c r="A125" s="8"/>
      <c r="B125" s="8"/>
      <c r="C125" s="8"/>
      <c r="D125" s="8"/>
      <c r="E125" s="8"/>
      <c r="F125" s="8"/>
      <c r="G125" s="8"/>
      <c r="H125" s="8"/>
      <c r="I125" s="8"/>
      <c r="J125" s="8"/>
      <c r="K125" s="8"/>
      <c r="L125" s="8"/>
      <c r="M125" s="8"/>
      <c r="N125" s="8"/>
      <c r="O125" s="8"/>
      <c r="P125" s="8"/>
      <c r="Q125" s="8"/>
      <c r="R125" s="8"/>
      <c r="S125" s="8"/>
      <c r="T125" s="8"/>
      <c r="U125" s="8"/>
      <c r="V125" s="5"/>
      <c r="W125" s="5"/>
      <c r="X125" s="5"/>
      <c r="Y125" s="5"/>
      <c r="Z125" s="5"/>
    </row>
    <row r="126" ht="15.75" customHeight="1">
      <c r="A126" s="8"/>
      <c r="B126" s="8"/>
      <c r="C126" s="8"/>
      <c r="D126" s="8"/>
      <c r="E126" s="8"/>
      <c r="F126" s="8"/>
      <c r="G126" s="8"/>
      <c r="H126" s="8"/>
      <c r="I126" s="8"/>
      <c r="J126" s="8"/>
      <c r="K126" s="8"/>
      <c r="L126" s="8"/>
      <c r="M126" s="8"/>
      <c r="N126" s="8"/>
      <c r="O126" s="8"/>
      <c r="P126" s="8"/>
      <c r="Q126" s="8"/>
      <c r="R126" s="8"/>
      <c r="S126" s="8"/>
      <c r="T126" s="8"/>
      <c r="U126" s="8"/>
      <c r="V126" s="5"/>
      <c r="W126" s="5"/>
      <c r="X126" s="5"/>
      <c r="Y126" s="5"/>
      <c r="Z126" s="5"/>
    </row>
    <row r="127" ht="15.75" customHeight="1">
      <c r="A127" s="8"/>
      <c r="B127" s="8"/>
      <c r="C127" s="8"/>
      <c r="D127" s="8"/>
      <c r="E127" s="8"/>
      <c r="F127" s="8"/>
      <c r="G127" s="8"/>
      <c r="H127" s="8"/>
      <c r="I127" s="8"/>
      <c r="J127" s="8"/>
      <c r="K127" s="8"/>
      <c r="L127" s="8"/>
      <c r="M127" s="8"/>
      <c r="N127" s="8"/>
      <c r="O127" s="8"/>
      <c r="P127" s="8"/>
      <c r="Q127" s="8"/>
      <c r="R127" s="8"/>
      <c r="S127" s="8"/>
      <c r="T127" s="8"/>
      <c r="U127" s="8"/>
      <c r="V127" s="5"/>
      <c r="W127" s="5"/>
      <c r="X127" s="5"/>
      <c r="Y127" s="5"/>
      <c r="Z127" s="5"/>
    </row>
    <row r="128" ht="15.75" customHeight="1">
      <c r="A128" s="8"/>
      <c r="B128" s="8"/>
      <c r="C128" s="8"/>
      <c r="D128" s="8"/>
      <c r="E128" s="8"/>
      <c r="F128" s="8"/>
      <c r="G128" s="8"/>
      <c r="H128" s="8"/>
      <c r="I128" s="8"/>
      <c r="J128" s="8"/>
      <c r="K128" s="8"/>
      <c r="L128" s="8"/>
      <c r="M128" s="8"/>
      <c r="N128" s="8"/>
      <c r="O128" s="8"/>
      <c r="P128" s="8"/>
      <c r="Q128" s="8"/>
      <c r="R128" s="8"/>
      <c r="S128" s="8"/>
      <c r="T128" s="8"/>
      <c r="U128" s="8"/>
      <c r="V128" s="5"/>
      <c r="W128" s="5"/>
      <c r="X128" s="5"/>
      <c r="Y128" s="5"/>
      <c r="Z128" s="5"/>
    </row>
    <row r="129" ht="15.75" customHeight="1">
      <c r="A129" s="8"/>
      <c r="B129" s="8"/>
      <c r="C129" s="8"/>
      <c r="D129" s="8"/>
      <c r="E129" s="8"/>
      <c r="F129" s="8"/>
      <c r="G129" s="8"/>
      <c r="H129" s="8"/>
      <c r="I129" s="8"/>
      <c r="J129" s="8"/>
      <c r="K129" s="8"/>
      <c r="L129" s="8"/>
      <c r="M129" s="8"/>
      <c r="N129" s="8"/>
      <c r="O129" s="8"/>
      <c r="P129" s="8"/>
      <c r="Q129" s="8"/>
      <c r="R129" s="8"/>
      <c r="S129" s="8"/>
      <c r="T129" s="8"/>
      <c r="U129" s="8"/>
      <c r="V129" s="5"/>
      <c r="W129" s="5"/>
      <c r="X129" s="5"/>
      <c r="Y129" s="5"/>
      <c r="Z129" s="5"/>
    </row>
    <row r="130" ht="15.75" customHeight="1">
      <c r="A130" s="8"/>
      <c r="B130" s="8"/>
      <c r="C130" s="8"/>
      <c r="D130" s="8"/>
      <c r="E130" s="8"/>
      <c r="F130" s="8"/>
      <c r="G130" s="8"/>
      <c r="H130" s="8"/>
      <c r="I130" s="8"/>
      <c r="J130" s="8"/>
      <c r="K130" s="8"/>
      <c r="L130" s="8"/>
      <c r="M130" s="8"/>
      <c r="N130" s="8"/>
      <c r="O130" s="8"/>
      <c r="P130" s="8"/>
      <c r="Q130" s="8"/>
      <c r="R130" s="8"/>
      <c r="S130" s="8"/>
      <c r="T130" s="8"/>
      <c r="U130" s="8"/>
      <c r="V130" s="5"/>
      <c r="W130" s="5"/>
      <c r="X130" s="5"/>
      <c r="Y130" s="5"/>
      <c r="Z130" s="5"/>
    </row>
    <row r="131" ht="15.75" customHeight="1">
      <c r="A131" s="8"/>
      <c r="B131" s="8"/>
      <c r="C131" s="8"/>
      <c r="D131" s="8"/>
      <c r="E131" s="8"/>
      <c r="F131" s="8"/>
      <c r="G131" s="8"/>
      <c r="H131" s="8"/>
      <c r="I131" s="8"/>
      <c r="J131" s="8"/>
      <c r="K131" s="8"/>
      <c r="L131" s="8"/>
      <c r="M131" s="8"/>
      <c r="N131" s="8"/>
      <c r="O131" s="8"/>
      <c r="P131" s="8"/>
      <c r="Q131" s="8"/>
      <c r="R131" s="8"/>
      <c r="S131" s="8"/>
      <c r="T131" s="8"/>
      <c r="U131" s="8"/>
      <c r="V131" s="5"/>
      <c r="W131" s="5"/>
      <c r="X131" s="5"/>
      <c r="Y131" s="5"/>
      <c r="Z131" s="5"/>
    </row>
    <row r="132" ht="15.75" customHeight="1">
      <c r="A132" s="8"/>
      <c r="B132" s="8"/>
      <c r="C132" s="8"/>
      <c r="D132" s="8"/>
      <c r="E132" s="8"/>
      <c r="F132" s="8"/>
      <c r="G132" s="8"/>
      <c r="H132" s="8"/>
      <c r="I132" s="8"/>
      <c r="J132" s="8"/>
      <c r="K132" s="8"/>
      <c r="L132" s="8"/>
      <c r="M132" s="8"/>
      <c r="N132" s="8"/>
      <c r="O132" s="8"/>
      <c r="P132" s="8"/>
      <c r="Q132" s="8"/>
      <c r="R132" s="8"/>
      <c r="S132" s="8"/>
      <c r="T132" s="8"/>
      <c r="U132" s="8"/>
      <c r="V132" s="5"/>
      <c r="W132" s="5"/>
      <c r="X132" s="5"/>
      <c r="Y132" s="5"/>
      <c r="Z132" s="5"/>
    </row>
    <row r="133" ht="15.75" customHeight="1">
      <c r="A133" s="8"/>
      <c r="B133" s="8"/>
      <c r="C133" s="8"/>
      <c r="D133" s="8"/>
      <c r="E133" s="8"/>
      <c r="F133" s="8"/>
      <c r="G133" s="8"/>
      <c r="H133" s="8"/>
      <c r="I133" s="8"/>
      <c r="J133" s="8"/>
      <c r="K133" s="8"/>
      <c r="L133" s="8"/>
      <c r="M133" s="8"/>
      <c r="N133" s="8"/>
      <c r="O133" s="8"/>
      <c r="P133" s="8"/>
      <c r="Q133" s="8"/>
      <c r="R133" s="8"/>
      <c r="S133" s="8"/>
      <c r="T133" s="8"/>
      <c r="U133" s="8"/>
      <c r="V133" s="5"/>
      <c r="W133" s="5"/>
      <c r="X133" s="5"/>
      <c r="Y133" s="5"/>
      <c r="Z133" s="5"/>
    </row>
    <row r="134" ht="15.75" customHeight="1">
      <c r="A134" s="8"/>
      <c r="B134" s="8"/>
      <c r="C134" s="8"/>
      <c r="D134" s="8"/>
      <c r="E134" s="8"/>
      <c r="F134" s="8"/>
      <c r="G134" s="8"/>
      <c r="H134" s="8"/>
      <c r="I134" s="8"/>
      <c r="J134" s="8"/>
      <c r="K134" s="8"/>
      <c r="L134" s="8"/>
      <c r="M134" s="8"/>
      <c r="N134" s="8"/>
      <c r="O134" s="8"/>
      <c r="P134" s="8"/>
      <c r="Q134" s="8"/>
      <c r="R134" s="8"/>
      <c r="S134" s="8"/>
      <c r="T134" s="8"/>
      <c r="U134" s="8"/>
      <c r="V134" s="5"/>
      <c r="W134" s="5"/>
      <c r="X134" s="5"/>
      <c r="Y134" s="5"/>
      <c r="Z134" s="5"/>
    </row>
    <row r="135" ht="15.75" customHeight="1">
      <c r="A135" s="8"/>
      <c r="B135" s="8"/>
      <c r="C135" s="8"/>
      <c r="D135" s="8"/>
      <c r="E135" s="8"/>
      <c r="F135" s="8"/>
      <c r="G135" s="8"/>
      <c r="H135" s="8"/>
      <c r="I135" s="8"/>
      <c r="J135" s="8"/>
      <c r="K135" s="8"/>
      <c r="L135" s="8"/>
      <c r="M135" s="8"/>
      <c r="N135" s="8"/>
      <c r="O135" s="8"/>
      <c r="P135" s="8"/>
      <c r="Q135" s="8"/>
      <c r="R135" s="8"/>
      <c r="S135" s="8"/>
      <c r="T135" s="8"/>
      <c r="U135" s="8"/>
      <c r="V135" s="5"/>
      <c r="W135" s="5"/>
      <c r="X135" s="5"/>
      <c r="Y135" s="5"/>
      <c r="Z135" s="5"/>
    </row>
    <row r="136" ht="15.75" customHeight="1">
      <c r="A136" s="8"/>
      <c r="B136" s="8"/>
      <c r="C136" s="8"/>
      <c r="D136" s="8"/>
      <c r="E136" s="8"/>
      <c r="F136" s="8"/>
      <c r="G136" s="8"/>
      <c r="H136" s="8"/>
      <c r="I136" s="8"/>
      <c r="J136" s="8"/>
      <c r="K136" s="8"/>
      <c r="L136" s="8"/>
      <c r="M136" s="8"/>
      <c r="N136" s="8"/>
      <c r="O136" s="8"/>
      <c r="P136" s="8"/>
      <c r="Q136" s="8"/>
      <c r="R136" s="8"/>
      <c r="S136" s="8"/>
      <c r="T136" s="8"/>
      <c r="U136" s="8"/>
      <c r="V136" s="5"/>
      <c r="W136" s="5"/>
      <c r="X136" s="5"/>
      <c r="Y136" s="5"/>
      <c r="Z136" s="5"/>
    </row>
    <row r="137" ht="15.75" customHeight="1">
      <c r="A137" s="8"/>
      <c r="B137" s="8"/>
      <c r="C137" s="8"/>
      <c r="D137" s="8"/>
      <c r="E137" s="8"/>
      <c r="F137" s="8"/>
      <c r="G137" s="8"/>
      <c r="H137" s="8"/>
      <c r="I137" s="8"/>
      <c r="J137" s="8"/>
      <c r="K137" s="8"/>
      <c r="L137" s="8"/>
      <c r="M137" s="8"/>
      <c r="N137" s="8"/>
      <c r="O137" s="8"/>
      <c r="P137" s="8"/>
      <c r="Q137" s="8"/>
      <c r="R137" s="8"/>
      <c r="S137" s="8"/>
      <c r="T137" s="8"/>
      <c r="U137" s="8"/>
      <c r="V137" s="5"/>
      <c r="W137" s="5"/>
      <c r="X137" s="5"/>
      <c r="Y137" s="5"/>
      <c r="Z137" s="5"/>
    </row>
    <row r="138" ht="15.75" customHeight="1">
      <c r="A138" s="8"/>
      <c r="B138" s="8"/>
      <c r="C138" s="8"/>
      <c r="D138" s="8"/>
      <c r="E138" s="8"/>
      <c r="F138" s="8"/>
      <c r="G138" s="8"/>
      <c r="H138" s="8"/>
      <c r="I138" s="8"/>
      <c r="J138" s="8"/>
      <c r="K138" s="8"/>
      <c r="L138" s="8"/>
      <c r="M138" s="8"/>
      <c r="N138" s="8"/>
      <c r="O138" s="8"/>
      <c r="P138" s="8"/>
      <c r="Q138" s="8"/>
      <c r="R138" s="8"/>
      <c r="S138" s="8"/>
      <c r="T138" s="8"/>
      <c r="U138" s="8"/>
      <c r="V138" s="5"/>
      <c r="W138" s="5"/>
      <c r="X138" s="5"/>
      <c r="Y138" s="5"/>
      <c r="Z138" s="5"/>
    </row>
    <row r="139" ht="15.75" customHeight="1">
      <c r="A139" s="8"/>
      <c r="B139" s="8"/>
      <c r="C139" s="8"/>
      <c r="D139" s="8"/>
      <c r="E139" s="8"/>
      <c r="F139" s="8"/>
      <c r="G139" s="8"/>
      <c r="H139" s="8"/>
      <c r="I139" s="8"/>
      <c r="J139" s="8"/>
      <c r="K139" s="8"/>
      <c r="L139" s="8"/>
      <c r="M139" s="8"/>
      <c r="N139" s="8"/>
      <c r="O139" s="8"/>
      <c r="P139" s="8"/>
      <c r="Q139" s="8"/>
      <c r="R139" s="8"/>
      <c r="S139" s="8"/>
      <c r="T139" s="8"/>
      <c r="U139" s="8"/>
      <c r="V139" s="5"/>
      <c r="W139" s="5"/>
      <c r="X139" s="5"/>
      <c r="Y139" s="5"/>
      <c r="Z139" s="5"/>
    </row>
    <row r="140" ht="15.75" customHeight="1">
      <c r="A140" s="8"/>
      <c r="B140" s="8"/>
      <c r="C140" s="8"/>
      <c r="D140" s="8"/>
      <c r="E140" s="8"/>
      <c r="F140" s="8"/>
      <c r="G140" s="8"/>
      <c r="H140" s="8"/>
      <c r="I140" s="8"/>
      <c r="J140" s="8"/>
      <c r="K140" s="8"/>
      <c r="L140" s="8"/>
      <c r="M140" s="8"/>
      <c r="N140" s="8"/>
      <c r="O140" s="8"/>
      <c r="P140" s="8"/>
      <c r="Q140" s="8"/>
      <c r="R140" s="8"/>
      <c r="S140" s="8"/>
      <c r="T140" s="8"/>
      <c r="U140" s="8"/>
      <c r="V140" s="5"/>
      <c r="W140" s="5"/>
      <c r="X140" s="5"/>
      <c r="Y140" s="5"/>
      <c r="Z140" s="5"/>
    </row>
    <row r="141" ht="15.75" customHeight="1">
      <c r="A141" s="8"/>
      <c r="B141" s="8"/>
      <c r="C141" s="8"/>
      <c r="D141" s="8"/>
      <c r="E141" s="8"/>
      <c r="F141" s="8"/>
      <c r="G141" s="8"/>
      <c r="H141" s="8"/>
      <c r="I141" s="8"/>
      <c r="J141" s="8"/>
      <c r="K141" s="8"/>
      <c r="L141" s="8"/>
      <c r="M141" s="8"/>
      <c r="N141" s="8"/>
      <c r="O141" s="8"/>
      <c r="P141" s="8"/>
      <c r="Q141" s="8"/>
      <c r="R141" s="8"/>
      <c r="S141" s="8"/>
      <c r="T141" s="8"/>
      <c r="U141" s="8"/>
      <c r="V141" s="5"/>
      <c r="W141" s="5"/>
      <c r="X141" s="5"/>
      <c r="Y141" s="5"/>
      <c r="Z141" s="5"/>
    </row>
    <row r="142" ht="15.75" customHeight="1">
      <c r="A142" s="8"/>
      <c r="B142" s="8"/>
      <c r="C142" s="8"/>
      <c r="D142" s="8"/>
      <c r="E142" s="8"/>
      <c r="F142" s="8"/>
      <c r="G142" s="8"/>
      <c r="H142" s="8"/>
      <c r="I142" s="8"/>
      <c r="J142" s="8"/>
      <c r="K142" s="8"/>
      <c r="L142" s="8"/>
      <c r="M142" s="8"/>
      <c r="N142" s="8"/>
      <c r="O142" s="8"/>
      <c r="P142" s="8"/>
      <c r="Q142" s="8"/>
      <c r="R142" s="8"/>
      <c r="S142" s="8"/>
      <c r="T142" s="8"/>
      <c r="U142" s="8"/>
      <c r="V142" s="5"/>
      <c r="W142" s="5"/>
      <c r="X142" s="5"/>
      <c r="Y142" s="5"/>
      <c r="Z142" s="5"/>
    </row>
    <row r="143" ht="15.75" customHeight="1">
      <c r="A143" s="8"/>
      <c r="B143" s="8"/>
      <c r="C143" s="8"/>
      <c r="D143" s="8"/>
      <c r="E143" s="8"/>
      <c r="F143" s="8"/>
      <c r="G143" s="8"/>
      <c r="H143" s="8"/>
      <c r="I143" s="8"/>
      <c r="J143" s="8"/>
      <c r="K143" s="8"/>
      <c r="L143" s="8"/>
      <c r="M143" s="8"/>
      <c r="N143" s="8"/>
      <c r="O143" s="8"/>
      <c r="P143" s="8"/>
      <c r="Q143" s="8"/>
      <c r="R143" s="8"/>
      <c r="S143" s="8"/>
      <c r="T143" s="8"/>
      <c r="U143" s="8"/>
      <c r="V143" s="5"/>
      <c r="W143" s="5"/>
      <c r="X143" s="5"/>
      <c r="Y143" s="5"/>
      <c r="Z143" s="5"/>
    </row>
    <row r="144" ht="15.75" customHeight="1">
      <c r="A144" s="8"/>
      <c r="B144" s="8"/>
      <c r="C144" s="8"/>
      <c r="D144" s="8"/>
      <c r="E144" s="8"/>
      <c r="F144" s="8"/>
      <c r="G144" s="8"/>
      <c r="H144" s="8"/>
      <c r="I144" s="8"/>
      <c r="J144" s="8"/>
      <c r="K144" s="8"/>
      <c r="L144" s="8"/>
      <c r="M144" s="8"/>
      <c r="N144" s="8"/>
      <c r="O144" s="8"/>
      <c r="P144" s="8"/>
      <c r="Q144" s="8"/>
      <c r="R144" s="8"/>
      <c r="S144" s="8"/>
      <c r="T144" s="8"/>
      <c r="U144" s="8"/>
      <c r="V144" s="5"/>
      <c r="W144" s="5"/>
      <c r="X144" s="5"/>
      <c r="Y144" s="5"/>
      <c r="Z144" s="5"/>
    </row>
    <row r="145" ht="15.75" customHeight="1">
      <c r="A145" s="8"/>
      <c r="B145" s="8"/>
      <c r="C145" s="8"/>
      <c r="D145" s="8"/>
      <c r="E145" s="8"/>
      <c r="F145" s="8"/>
      <c r="G145" s="8"/>
      <c r="H145" s="8"/>
      <c r="I145" s="8"/>
      <c r="J145" s="8"/>
      <c r="K145" s="8"/>
      <c r="L145" s="8"/>
      <c r="M145" s="8"/>
      <c r="N145" s="8"/>
      <c r="O145" s="8"/>
      <c r="P145" s="8"/>
      <c r="Q145" s="8"/>
      <c r="R145" s="8"/>
      <c r="S145" s="8"/>
      <c r="T145" s="8"/>
      <c r="U145" s="8"/>
      <c r="V145" s="5"/>
      <c r="W145" s="5"/>
      <c r="X145" s="5"/>
      <c r="Y145" s="5"/>
      <c r="Z145" s="5"/>
    </row>
    <row r="146" ht="15.75" customHeight="1">
      <c r="A146" s="8"/>
      <c r="B146" s="8"/>
      <c r="C146" s="8"/>
      <c r="D146" s="8"/>
      <c r="E146" s="8"/>
      <c r="F146" s="8"/>
      <c r="G146" s="8"/>
      <c r="H146" s="8"/>
      <c r="I146" s="8"/>
      <c r="J146" s="8"/>
      <c r="K146" s="8"/>
      <c r="L146" s="8"/>
      <c r="M146" s="8"/>
      <c r="N146" s="8"/>
      <c r="O146" s="8"/>
      <c r="P146" s="8"/>
      <c r="Q146" s="8"/>
      <c r="R146" s="8"/>
      <c r="S146" s="8"/>
      <c r="T146" s="8"/>
      <c r="U146" s="8"/>
      <c r="V146" s="5"/>
      <c r="W146" s="5"/>
      <c r="X146" s="5"/>
      <c r="Y146" s="5"/>
      <c r="Z146" s="5"/>
    </row>
    <row r="147" ht="15.75" customHeight="1">
      <c r="A147" s="8"/>
      <c r="B147" s="8"/>
      <c r="C147" s="8"/>
      <c r="D147" s="8"/>
      <c r="E147" s="8"/>
      <c r="F147" s="8"/>
      <c r="G147" s="8"/>
      <c r="H147" s="8"/>
      <c r="I147" s="8"/>
      <c r="J147" s="8"/>
      <c r="K147" s="8"/>
      <c r="L147" s="8"/>
      <c r="M147" s="8"/>
      <c r="N147" s="8"/>
      <c r="O147" s="8"/>
      <c r="P147" s="8"/>
      <c r="Q147" s="8"/>
      <c r="R147" s="8"/>
      <c r="S147" s="8"/>
      <c r="T147" s="8"/>
      <c r="U147" s="8"/>
      <c r="V147" s="5"/>
      <c r="W147" s="5"/>
      <c r="X147" s="5"/>
      <c r="Y147" s="5"/>
      <c r="Z147" s="5"/>
    </row>
    <row r="148" ht="15.75" customHeight="1">
      <c r="A148" s="8"/>
      <c r="B148" s="8"/>
      <c r="C148" s="8"/>
      <c r="D148" s="8"/>
      <c r="E148" s="8"/>
      <c r="F148" s="8"/>
      <c r="G148" s="8"/>
      <c r="H148" s="8"/>
      <c r="I148" s="8"/>
      <c r="J148" s="8"/>
      <c r="K148" s="8"/>
      <c r="L148" s="8"/>
      <c r="M148" s="8"/>
      <c r="N148" s="8"/>
      <c r="O148" s="8"/>
      <c r="P148" s="8"/>
      <c r="Q148" s="8"/>
      <c r="R148" s="8"/>
      <c r="S148" s="8"/>
      <c r="T148" s="8"/>
      <c r="U148" s="8"/>
      <c r="V148" s="5"/>
      <c r="W148" s="5"/>
      <c r="X148" s="5"/>
      <c r="Y148" s="5"/>
      <c r="Z148" s="5"/>
    </row>
    <row r="149" ht="15.75" customHeight="1">
      <c r="A149" s="8"/>
      <c r="B149" s="8"/>
      <c r="C149" s="8"/>
      <c r="D149" s="8"/>
      <c r="E149" s="8"/>
      <c r="F149" s="8"/>
      <c r="G149" s="8"/>
      <c r="H149" s="8"/>
      <c r="I149" s="8"/>
      <c r="J149" s="8"/>
      <c r="K149" s="8"/>
      <c r="L149" s="8"/>
      <c r="M149" s="8"/>
      <c r="N149" s="8"/>
      <c r="O149" s="8"/>
      <c r="P149" s="8"/>
      <c r="Q149" s="8"/>
      <c r="R149" s="8"/>
      <c r="S149" s="8"/>
      <c r="T149" s="8"/>
      <c r="U149" s="8"/>
      <c r="V149" s="5"/>
      <c r="W149" s="5"/>
      <c r="X149" s="5"/>
      <c r="Y149" s="5"/>
      <c r="Z149" s="5"/>
    </row>
    <row r="150" ht="15.75" customHeight="1">
      <c r="A150" s="8"/>
      <c r="B150" s="8"/>
      <c r="C150" s="8"/>
      <c r="D150" s="8"/>
      <c r="E150" s="8"/>
      <c r="F150" s="8"/>
      <c r="G150" s="8"/>
      <c r="H150" s="8"/>
      <c r="I150" s="8"/>
      <c r="J150" s="8"/>
      <c r="K150" s="8"/>
      <c r="L150" s="8"/>
      <c r="M150" s="8"/>
      <c r="N150" s="8"/>
      <c r="O150" s="8"/>
      <c r="P150" s="8"/>
      <c r="Q150" s="8"/>
      <c r="R150" s="8"/>
      <c r="S150" s="8"/>
      <c r="T150" s="8"/>
      <c r="U150" s="8"/>
      <c r="V150" s="5"/>
      <c r="W150" s="5"/>
      <c r="X150" s="5"/>
      <c r="Y150" s="5"/>
      <c r="Z150" s="5"/>
    </row>
    <row r="151" ht="15.75" customHeight="1">
      <c r="A151" s="8"/>
      <c r="B151" s="8"/>
      <c r="C151" s="8"/>
      <c r="D151" s="8"/>
      <c r="E151" s="8"/>
      <c r="F151" s="8"/>
      <c r="G151" s="8"/>
      <c r="H151" s="8"/>
      <c r="I151" s="8"/>
      <c r="J151" s="8"/>
      <c r="K151" s="8"/>
      <c r="L151" s="8"/>
      <c r="M151" s="8"/>
      <c r="N151" s="8"/>
      <c r="O151" s="8"/>
      <c r="P151" s="8"/>
      <c r="Q151" s="8"/>
      <c r="R151" s="8"/>
      <c r="S151" s="8"/>
      <c r="T151" s="8"/>
      <c r="U151" s="8"/>
      <c r="V151" s="5"/>
      <c r="W151" s="5"/>
      <c r="X151" s="5"/>
      <c r="Y151" s="5"/>
      <c r="Z151" s="5"/>
    </row>
    <row r="152" ht="15.75" customHeight="1">
      <c r="A152" s="8"/>
      <c r="B152" s="8"/>
      <c r="C152" s="8"/>
      <c r="D152" s="8"/>
      <c r="E152" s="8"/>
      <c r="F152" s="8"/>
      <c r="G152" s="8"/>
      <c r="H152" s="8"/>
      <c r="I152" s="8"/>
      <c r="J152" s="8"/>
      <c r="K152" s="8"/>
      <c r="L152" s="8"/>
      <c r="M152" s="8"/>
      <c r="N152" s="8"/>
      <c r="O152" s="8"/>
      <c r="P152" s="8"/>
      <c r="Q152" s="8"/>
      <c r="R152" s="8"/>
      <c r="S152" s="8"/>
      <c r="T152" s="8"/>
      <c r="U152" s="8"/>
      <c r="V152" s="5"/>
      <c r="W152" s="5"/>
      <c r="X152" s="5"/>
      <c r="Y152" s="5"/>
      <c r="Z152" s="5"/>
    </row>
    <row r="153" ht="15.75" customHeight="1">
      <c r="A153" s="8"/>
      <c r="B153" s="8"/>
      <c r="C153" s="8"/>
      <c r="D153" s="8"/>
      <c r="E153" s="8"/>
      <c r="F153" s="8"/>
      <c r="G153" s="8"/>
      <c r="H153" s="8"/>
      <c r="I153" s="8"/>
      <c r="J153" s="8"/>
      <c r="K153" s="8"/>
      <c r="L153" s="8"/>
      <c r="M153" s="8"/>
      <c r="N153" s="8"/>
      <c r="O153" s="8"/>
      <c r="P153" s="8"/>
      <c r="Q153" s="8"/>
      <c r="R153" s="8"/>
      <c r="S153" s="8"/>
      <c r="T153" s="8"/>
      <c r="U153" s="8"/>
      <c r="V153" s="5"/>
      <c r="W153" s="5"/>
      <c r="X153" s="5"/>
      <c r="Y153" s="5"/>
      <c r="Z153" s="5"/>
    </row>
    <row r="154" ht="15.75" customHeight="1">
      <c r="A154" s="8"/>
      <c r="B154" s="8"/>
      <c r="C154" s="8"/>
      <c r="D154" s="8"/>
      <c r="E154" s="8"/>
      <c r="F154" s="8"/>
      <c r="G154" s="8"/>
      <c r="H154" s="8"/>
      <c r="I154" s="8"/>
      <c r="J154" s="8"/>
      <c r="K154" s="8"/>
      <c r="L154" s="8"/>
      <c r="M154" s="8"/>
      <c r="N154" s="8"/>
      <c r="O154" s="8"/>
      <c r="P154" s="8"/>
      <c r="Q154" s="8"/>
      <c r="R154" s="8"/>
      <c r="S154" s="8"/>
      <c r="T154" s="8"/>
      <c r="U154" s="8"/>
      <c r="V154" s="5"/>
      <c r="W154" s="5"/>
      <c r="X154" s="5"/>
      <c r="Y154" s="5"/>
      <c r="Z154" s="5"/>
    </row>
    <row r="155" ht="15.75" customHeight="1">
      <c r="A155" s="8"/>
      <c r="B155" s="8"/>
      <c r="C155" s="8"/>
      <c r="D155" s="8"/>
      <c r="E155" s="8"/>
      <c r="F155" s="8"/>
      <c r="G155" s="8"/>
      <c r="H155" s="8"/>
      <c r="I155" s="8"/>
      <c r="J155" s="8"/>
      <c r="K155" s="8"/>
      <c r="L155" s="8"/>
      <c r="M155" s="8"/>
      <c r="N155" s="8"/>
      <c r="O155" s="8"/>
      <c r="P155" s="8"/>
      <c r="Q155" s="8"/>
      <c r="R155" s="8"/>
      <c r="S155" s="8"/>
      <c r="T155" s="8"/>
      <c r="U155" s="8"/>
      <c r="V155" s="5"/>
      <c r="W155" s="5"/>
      <c r="X155" s="5"/>
      <c r="Y155" s="5"/>
      <c r="Z155" s="5"/>
    </row>
    <row r="156" ht="15.75" customHeight="1">
      <c r="A156" s="8"/>
      <c r="B156" s="8"/>
      <c r="C156" s="8"/>
      <c r="D156" s="8"/>
      <c r="E156" s="8"/>
      <c r="F156" s="8"/>
      <c r="G156" s="8"/>
      <c r="H156" s="8"/>
      <c r="I156" s="8"/>
      <c r="J156" s="8"/>
      <c r="K156" s="8"/>
      <c r="L156" s="8"/>
      <c r="M156" s="8"/>
      <c r="N156" s="8"/>
      <c r="O156" s="8"/>
      <c r="P156" s="8"/>
      <c r="Q156" s="8"/>
      <c r="R156" s="8"/>
      <c r="S156" s="8"/>
      <c r="T156" s="8"/>
      <c r="U156" s="8"/>
      <c r="V156" s="5"/>
      <c r="W156" s="5"/>
      <c r="X156" s="5"/>
      <c r="Y156" s="5"/>
      <c r="Z156" s="5"/>
    </row>
    <row r="157" ht="15.75" customHeight="1">
      <c r="A157" s="8"/>
      <c r="B157" s="8"/>
      <c r="C157" s="8"/>
      <c r="D157" s="8"/>
      <c r="E157" s="8"/>
      <c r="F157" s="8"/>
      <c r="G157" s="8"/>
      <c r="H157" s="8"/>
      <c r="I157" s="8"/>
      <c r="J157" s="8"/>
      <c r="K157" s="8"/>
      <c r="L157" s="8"/>
      <c r="M157" s="8"/>
      <c r="N157" s="8"/>
      <c r="O157" s="8"/>
      <c r="P157" s="8"/>
      <c r="Q157" s="8"/>
      <c r="R157" s="8"/>
      <c r="S157" s="8"/>
      <c r="T157" s="8"/>
      <c r="U157" s="8"/>
      <c r="V157" s="5"/>
      <c r="W157" s="5"/>
      <c r="X157" s="5"/>
      <c r="Y157" s="5"/>
      <c r="Z157" s="5"/>
    </row>
    <row r="158" ht="15.75" customHeight="1">
      <c r="A158" s="8"/>
      <c r="B158" s="8"/>
      <c r="C158" s="8"/>
      <c r="D158" s="8"/>
      <c r="E158" s="8"/>
      <c r="F158" s="8"/>
      <c r="G158" s="8"/>
      <c r="H158" s="8"/>
      <c r="I158" s="8"/>
      <c r="J158" s="8"/>
      <c r="K158" s="8"/>
      <c r="L158" s="8"/>
      <c r="M158" s="8"/>
      <c r="N158" s="8"/>
      <c r="O158" s="8"/>
      <c r="P158" s="8"/>
      <c r="Q158" s="8"/>
      <c r="R158" s="8"/>
      <c r="S158" s="8"/>
      <c r="T158" s="8"/>
      <c r="U158" s="8"/>
      <c r="V158" s="5"/>
      <c r="W158" s="5"/>
      <c r="X158" s="5"/>
      <c r="Y158" s="5"/>
      <c r="Z158" s="5"/>
    </row>
    <row r="159" ht="15.75" customHeight="1">
      <c r="A159" s="8"/>
      <c r="B159" s="8"/>
      <c r="C159" s="8"/>
      <c r="D159" s="8"/>
      <c r="E159" s="8"/>
      <c r="F159" s="8"/>
      <c r="G159" s="8"/>
      <c r="H159" s="8"/>
      <c r="I159" s="8"/>
      <c r="J159" s="8"/>
      <c r="K159" s="8"/>
      <c r="L159" s="8"/>
      <c r="M159" s="8"/>
      <c r="N159" s="8"/>
      <c r="O159" s="8"/>
      <c r="P159" s="8"/>
      <c r="Q159" s="8"/>
      <c r="R159" s="8"/>
      <c r="S159" s="8"/>
      <c r="T159" s="8"/>
      <c r="U159" s="8"/>
      <c r="V159" s="5"/>
      <c r="W159" s="5"/>
      <c r="X159" s="5"/>
      <c r="Y159" s="5"/>
      <c r="Z159" s="5"/>
    </row>
    <row r="160" ht="15.75" customHeight="1">
      <c r="A160" s="8"/>
      <c r="B160" s="8"/>
      <c r="C160" s="8"/>
      <c r="D160" s="8"/>
      <c r="E160" s="8"/>
      <c r="F160" s="8"/>
      <c r="G160" s="8"/>
      <c r="H160" s="8"/>
      <c r="I160" s="8"/>
      <c r="J160" s="8"/>
      <c r="K160" s="8"/>
      <c r="L160" s="8"/>
      <c r="M160" s="8"/>
      <c r="N160" s="8"/>
      <c r="O160" s="8"/>
      <c r="P160" s="8"/>
      <c r="Q160" s="8"/>
      <c r="R160" s="8"/>
      <c r="S160" s="8"/>
      <c r="T160" s="8"/>
      <c r="U160" s="8"/>
      <c r="V160" s="5"/>
      <c r="W160" s="5"/>
      <c r="X160" s="5"/>
      <c r="Y160" s="5"/>
      <c r="Z160" s="5"/>
    </row>
    <row r="161" ht="15.75" customHeight="1">
      <c r="A161" s="8"/>
      <c r="B161" s="8"/>
      <c r="C161" s="8"/>
      <c r="D161" s="8"/>
      <c r="E161" s="8"/>
      <c r="F161" s="8"/>
      <c r="G161" s="8"/>
      <c r="H161" s="8"/>
      <c r="I161" s="8"/>
      <c r="J161" s="8"/>
      <c r="K161" s="8"/>
      <c r="L161" s="8"/>
      <c r="M161" s="8"/>
      <c r="N161" s="8"/>
      <c r="O161" s="8"/>
      <c r="P161" s="8"/>
      <c r="Q161" s="8"/>
      <c r="R161" s="8"/>
      <c r="S161" s="8"/>
      <c r="T161" s="8"/>
      <c r="U161" s="8"/>
      <c r="V161" s="5"/>
      <c r="W161" s="5"/>
      <c r="X161" s="5"/>
      <c r="Y161" s="5"/>
      <c r="Z161" s="5"/>
    </row>
    <row r="162" ht="15.75" customHeight="1">
      <c r="A162" s="8"/>
      <c r="B162" s="8"/>
      <c r="C162" s="8"/>
      <c r="D162" s="8"/>
      <c r="E162" s="8"/>
      <c r="F162" s="8"/>
      <c r="G162" s="8"/>
      <c r="H162" s="8"/>
      <c r="I162" s="8"/>
      <c r="J162" s="8"/>
      <c r="K162" s="8"/>
      <c r="L162" s="8"/>
      <c r="M162" s="8"/>
      <c r="N162" s="8"/>
      <c r="O162" s="8"/>
      <c r="P162" s="8"/>
      <c r="Q162" s="8"/>
      <c r="R162" s="8"/>
      <c r="S162" s="8"/>
      <c r="T162" s="8"/>
      <c r="U162" s="8"/>
      <c r="V162" s="5"/>
      <c r="W162" s="5"/>
      <c r="X162" s="5"/>
      <c r="Y162" s="5"/>
      <c r="Z162" s="5"/>
    </row>
    <row r="163" ht="15.75" customHeight="1">
      <c r="A163" s="8"/>
      <c r="B163" s="8"/>
      <c r="C163" s="8"/>
      <c r="D163" s="8"/>
      <c r="E163" s="8"/>
      <c r="F163" s="8"/>
      <c r="G163" s="8"/>
      <c r="H163" s="8"/>
      <c r="I163" s="8"/>
      <c r="J163" s="8"/>
      <c r="K163" s="8"/>
      <c r="L163" s="8"/>
      <c r="M163" s="8"/>
      <c r="N163" s="8"/>
      <c r="O163" s="8"/>
      <c r="P163" s="8"/>
      <c r="Q163" s="8"/>
      <c r="R163" s="8"/>
      <c r="S163" s="8"/>
      <c r="T163" s="8"/>
      <c r="U163" s="8"/>
      <c r="V163" s="5"/>
      <c r="W163" s="5"/>
      <c r="X163" s="5"/>
      <c r="Y163" s="5"/>
      <c r="Z163" s="5"/>
    </row>
    <row r="164" ht="15.75" customHeight="1">
      <c r="A164" s="8"/>
      <c r="B164" s="8"/>
      <c r="C164" s="8"/>
      <c r="D164" s="8"/>
      <c r="E164" s="8"/>
      <c r="F164" s="8"/>
      <c r="G164" s="8"/>
      <c r="H164" s="8"/>
      <c r="I164" s="8"/>
      <c r="J164" s="8"/>
      <c r="K164" s="8"/>
      <c r="L164" s="8"/>
      <c r="M164" s="8"/>
      <c r="N164" s="8"/>
      <c r="O164" s="8"/>
      <c r="P164" s="8"/>
      <c r="Q164" s="8"/>
      <c r="R164" s="8"/>
      <c r="S164" s="8"/>
      <c r="T164" s="8"/>
      <c r="U164" s="8"/>
      <c r="V164" s="5"/>
      <c r="W164" s="5"/>
      <c r="X164" s="5"/>
      <c r="Y164" s="5"/>
      <c r="Z164" s="5"/>
    </row>
    <row r="165" ht="15.75" customHeight="1">
      <c r="A165" s="8"/>
      <c r="B165" s="8"/>
      <c r="C165" s="8"/>
      <c r="D165" s="8"/>
      <c r="E165" s="8"/>
      <c r="F165" s="8"/>
      <c r="G165" s="8"/>
      <c r="H165" s="8"/>
      <c r="I165" s="8"/>
      <c r="J165" s="8"/>
      <c r="K165" s="8"/>
      <c r="L165" s="8"/>
      <c r="M165" s="8"/>
      <c r="N165" s="8"/>
      <c r="O165" s="8"/>
      <c r="P165" s="8"/>
      <c r="Q165" s="8"/>
      <c r="R165" s="8"/>
      <c r="S165" s="8"/>
      <c r="T165" s="8"/>
      <c r="U165" s="8"/>
      <c r="V165" s="5"/>
      <c r="W165" s="5"/>
      <c r="X165" s="5"/>
      <c r="Y165" s="5"/>
      <c r="Z165" s="5"/>
    </row>
    <row r="166" ht="15.75" customHeight="1">
      <c r="A166" s="8"/>
      <c r="B166" s="8"/>
      <c r="C166" s="8"/>
      <c r="D166" s="8"/>
      <c r="E166" s="8"/>
      <c r="F166" s="8"/>
      <c r="G166" s="8"/>
      <c r="H166" s="8"/>
      <c r="I166" s="8"/>
      <c r="J166" s="8"/>
      <c r="K166" s="8"/>
      <c r="L166" s="8"/>
      <c r="M166" s="8"/>
      <c r="N166" s="8"/>
      <c r="O166" s="8"/>
      <c r="P166" s="8"/>
      <c r="Q166" s="8"/>
      <c r="R166" s="8"/>
      <c r="S166" s="8"/>
      <c r="T166" s="8"/>
      <c r="U166" s="8"/>
      <c r="V166" s="5"/>
      <c r="W166" s="5"/>
      <c r="X166" s="5"/>
      <c r="Y166" s="5"/>
      <c r="Z166" s="5"/>
    </row>
    <row r="167" ht="15.75" customHeight="1">
      <c r="A167" s="8"/>
      <c r="B167" s="8"/>
      <c r="C167" s="8"/>
      <c r="D167" s="8"/>
      <c r="E167" s="8"/>
      <c r="F167" s="8"/>
      <c r="G167" s="8"/>
      <c r="H167" s="8"/>
      <c r="I167" s="8"/>
      <c r="J167" s="8"/>
      <c r="K167" s="8"/>
      <c r="L167" s="8"/>
      <c r="M167" s="8"/>
      <c r="N167" s="8"/>
      <c r="O167" s="8"/>
      <c r="P167" s="8"/>
      <c r="Q167" s="8"/>
      <c r="R167" s="8"/>
      <c r="S167" s="8"/>
      <c r="T167" s="8"/>
      <c r="U167" s="8"/>
      <c r="V167" s="5"/>
      <c r="W167" s="5"/>
      <c r="X167" s="5"/>
      <c r="Y167" s="5"/>
      <c r="Z167" s="5"/>
    </row>
    <row r="168" ht="15.75" customHeight="1">
      <c r="A168" s="8"/>
      <c r="B168" s="8"/>
      <c r="C168" s="8"/>
      <c r="D168" s="8"/>
      <c r="E168" s="8"/>
      <c r="F168" s="8"/>
      <c r="G168" s="8"/>
      <c r="H168" s="8"/>
      <c r="I168" s="8"/>
      <c r="J168" s="8"/>
      <c r="K168" s="8"/>
      <c r="L168" s="8"/>
      <c r="M168" s="8"/>
      <c r="N168" s="8"/>
      <c r="O168" s="8"/>
      <c r="P168" s="8"/>
      <c r="Q168" s="8"/>
      <c r="R168" s="8"/>
      <c r="S168" s="8"/>
      <c r="T168" s="8"/>
      <c r="U168" s="8"/>
      <c r="V168" s="5"/>
      <c r="W168" s="5"/>
      <c r="X168" s="5"/>
      <c r="Y168" s="5"/>
      <c r="Z168" s="5"/>
    </row>
    <row r="169" ht="15.75" customHeight="1">
      <c r="A169" s="8"/>
      <c r="B169" s="8"/>
      <c r="C169" s="8"/>
      <c r="D169" s="8"/>
      <c r="E169" s="8"/>
      <c r="F169" s="8"/>
      <c r="G169" s="8"/>
      <c r="H169" s="8"/>
      <c r="I169" s="8"/>
      <c r="J169" s="8"/>
      <c r="K169" s="8"/>
      <c r="L169" s="8"/>
      <c r="M169" s="8"/>
      <c r="N169" s="8"/>
      <c r="O169" s="8"/>
      <c r="P169" s="8"/>
      <c r="Q169" s="8"/>
      <c r="R169" s="8"/>
      <c r="S169" s="8"/>
      <c r="T169" s="8"/>
      <c r="U169" s="8"/>
      <c r="V169" s="5"/>
      <c r="W169" s="5"/>
      <c r="X169" s="5"/>
      <c r="Y169" s="5"/>
      <c r="Z169" s="5"/>
    </row>
    <row r="170" ht="15.75" customHeight="1">
      <c r="A170" s="8"/>
      <c r="B170" s="8"/>
      <c r="C170" s="8"/>
      <c r="D170" s="8"/>
      <c r="E170" s="8"/>
      <c r="F170" s="8"/>
      <c r="G170" s="8"/>
      <c r="H170" s="8"/>
      <c r="I170" s="8"/>
      <c r="J170" s="8"/>
      <c r="K170" s="8"/>
      <c r="L170" s="8"/>
      <c r="M170" s="8"/>
      <c r="N170" s="8"/>
      <c r="O170" s="8"/>
      <c r="P170" s="8"/>
      <c r="Q170" s="8"/>
      <c r="R170" s="8"/>
      <c r="S170" s="8"/>
      <c r="T170" s="8"/>
      <c r="U170" s="8"/>
      <c r="V170" s="5"/>
      <c r="W170" s="5"/>
      <c r="X170" s="5"/>
      <c r="Y170" s="5"/>
      <c r="Z170" s="5"/>
    </row>
    <row r="171" ht="15.75" customHeight="1">
      <c r="A171" s="8"/>
      <c r="B171" s="8"/>
      <c r="C171" s="8"/>
      <c r="D171" s="8"/>
      <c r="E171" s="8"/>
      <c r="F171" s="8"/>
      <c r="G171" s="8"/>
      <c r="H171" s="8"/>
      <c r="I171" s="8"/>
      <c r="J171" s="8"/>
      <c r="K171" s="8"/>
      <c r="L171" s="8"/>
      <c r="M171" s="8"/>
      <c r="N171" s="8"/>
      <c r="O171" s="8"/>
      <c r="P171" s="8"/>
      <c r="Q171" s="8"/>
      <c r="R171" s="8"/>
      <c r="S171" s="8"/>
      <c r="T171" s="8"/>
      <c r="U171" s="8"/>
      <c r="V171" s="5"/>
      <c r="W171" s="5"/>
      <c r="X171" s="5"/>
      <c r="Y171" s="5"/>
      <c r="Z171" s="5"/>
    </row>
    <row r="172" ht="15.75" customHeight="1">
      <c r="A172" s="8"/>
      <c r="B172" s="8"/>
      <c r="C172" s="8"/>
      <c r="D172" s="8"/>
      <c r="E172" s="8"/>
      <c r="F172" s="8"/>
      <c r="G172" s="8"/>
      <c r="H172" s="8"/>
      <c r="I172" s="8"/>
      <c r="J172" s="8"/>
      <c r="K172" s="8"/>
      <c r="L172" s="8"/>
      <c r="M172" s="8"/>
      <c r="N172" s="8"/>
      <c r="O172" s="8"/>
      <c r="P172" s="8"/>
      <c r="Q172" s="8"/>
      <c r="R172" s="8"/>
      <c r="S172" s="8"/>
      <c r="T172" s="8"/>
      <c r="U172" s="8"/>
      <c r="V172" s="5"/>
      <c r="W172" s="5"/>
      <c r="X172" s="5"/>
      <c r="Y172" s="5"/>
      <c r="Z172" s="5"/>
    </row>
    <row r="173" ht="15.75" customHeight="1">
      <c r="A173" s="8"/>
      <c r="B173" s="8"/>
      <c r="C173" s="8"/>
      <c r="D173" s="8"/>
      <c r="E173" s="8"/>
      <c r="F173" s="8"/>
      <c r="G173" s="8"/>
      <c r="H173" s="8"/>
      <c r="I173" s="8"/>
      <c r="J173" s="8"/>
      <c r="K173" s="8"/>
      <c r="L173" s="8"/>
      <c r="M173" s="8"/>
      <c r="N173" s="8"/>
      <c r="O173" s="8"/>
      <c r="P173" s="8"/>
      <c r="Q173" s="8"/>
      <c r="R173" s="8"/>
      <c r="S173" s="8"/>
      <c r="T173" s="8"/>
      <c r="U173" s="8"/>
      <c r="V173" s="5"/>
      <c r="W173" s="5"/>
      <c r="X173" s="5"/>
      <c r="Y173" s="5"/>
      <c r="Z173" s="5"/>
    </row>
    <row r="174" ht="15.75" customHeight="1">
      <c r="A174" s="8"/>
      <c r="B174" s="8"/>
      <c r="C174" s="8"/>
      <c r="D174" s="8"/>
      <c r="E174" s="8"/>
      <c r="F174" s="8"/>
      <c r="G174" s="8"/>
      <c r="H174" s="8"/>
      <c r="I174" s="8"/>
      <c r="J174" s="8"/>
      <c r="K174" s="8"/>
      <c r="L174" s="8"/>
      <c r="M174" s="8"/>
      <c r="N174" s="8"/>
      <c r="O174" s="8"/>
      <c r="P174" s="8"/>
      <c r="Q174" s="8"/>
      <c r="R174" s="8"/>
      <c r="S174" s="8"/>
      <c r="T174" s="8"/>
      <c r="U174" s="8"/>
      <c r="V174" s="5"/>
      <c r="W174" s="5"/>
      <c r="X174" s="5"/>
      <c r="Y174" s="5"/>
      <c r="Z174" s="5"/>
    </row>
    <row r="175" ht="15.75" customHeight="1">
      <c r="A175" s="8"/>
      <c r="B175" s="8"/>
      <c r="C175" s="8"/>
      <c r="D175" s="8"/>
      <c r="E175" s="8"/>
      <c r="F175" s="8"/>
      <c r="G175" s="8"/>
      <c r="H175" s="8"/>
      <c r="I175" s="8"/>
      <c r="J175" s="8"/>
      <c r="K175" s="8"/>
      <c r="L175" s="8"/>
      <c r="M175" s="8"/>
      <c r="N175" s="8"/>
      <c r="O175" s="8"/>
      <c r="P175" s="8"/>
      <c r="Q175" s="8"/>
      <c r="R175" s="8"/>
      <c r="S175" s="8"/>
      <c r="T175" s="8"/>
      <c r="U175" s="8"/>
      <c r="V175" s="5"/>
      <c r="W175" s="5"/>
      <c r="X175" s="5"/>
      <c r="Y175" s="5"/>
      <c r="Z175" s="5"/>
    </row>
    <row r="176" ht="15.75" customHeight="1">
      <c r="A176" s="8"/>
      <c r="B176" s="8"/>
      <c r="C176" s="8"/>
      <c r="D176" s="8"/>
      <c r="E176" s="8"/>
      <c r="F176" s="8"/>
      <c r="G176" s="8"/>
      <c r="H176" s="8"/>
      <c r="I176" s="8"/>
      <c r="J176" s="8"/>
      <c r="K176" s="8"/>
      <c r="L176" s="8"/>
      <c r="M176" s="8"/>
      <c r="N176" s="8"/>
      <c r="O176" s="8"/>
      <c r="P176" s="8"/>
      <c r="Q176" s="8"/>
      <c r="R176" s="8"/>
      <c r="S176" s="8"/>
      <c r="T176" s="8"/>
      <c r="U176" s="8"/>
      <c r="V176" s="5"/>
      <c r="W176" s="5"/>
      <c r="X176" s="5"/>
      <c r="Y176" s="5"/>
      <c r="Z176" s="5"/>
    </row>
    <row r="177" ht="15.75" customHeight="1">
      <c r="A177" s="8"/>
      <c r="B177" s="8"/>
      <c r="C177" s="8"/>
      <c r="D177" s="8"/>
      <c r="E177" s="8"/>
      <c r="F177" s="8"/>
      <c r="G177" s="8"/>
      <c r="H177" s="8"/>
      <c r="I177" s="8"/>
      <c r="J177" s="8"/>
      <c r="K177" s="8"/>
      <c r="L177" s="8"/>
      <c r="M177" s="8"/>
      <c r="N177" s="8"/>
      <c r="O177" s="8"/>
      <c r="P177" s="8"/>
      <c r="Q177" s="8"/>
      <c r="R177" s="8"/>
      <c r="S177" s="8"/>
      <c r="T177" s="8"/>
      <c r="U177" s="8"/>
      <c r="V177" s="5"/>
      <c r="W177" s="5"/>
      <c r="X177" s="5"/>
      <c r="Y177" s="5"/>
      <c r="Z177" s="5"/>
    </row>
    <row r="178" ht="15.75" customHeight="1">
      <c r="A178" s="8"/>
      <c r="B178" s="8"/>
      <c r="C178" s="8"/>
      <c r="D178" s="8"/>
      <c r="E178" s="8"/>
      <c r="F178" s="8"/>
      <c r="G178" s="8"/>
      <c r="H178" s="8"/>
      <c r="I178" s="8"/>
      <c r="J178" s="8"/>
      <c r="K178" s="8"/>
      <c r="L178" s="8"/>
      <c r="M178" s="8"/>
      <c r="N178" s="8"/>
      <c r="O178" s="8"/>
      <c r="P178" s="8"/>
      <c r="Q178" s="8"/>
      <c r="R178" s="8"/>
      <c r="S178" s="8"/>
      <c r="T178" s="8"/>
      <c r="U178" s="8"/>
      <c r="V178" s="5"/>
      <c r="W178" s="5"/>
      <c r="X178" s="5"/>
      <c r="Y178" s="5"/>
      <c r="Z178" s="5"/>
    </row>
    <row r="179" ht="15.75" customHeight="1">
      <c r="A179" s="8"/>
      <c r="B179" s="8"/>
      <c r="C179" s="8"/>
      <c r="D179" s="8"/>
      <c r="E179" s="8"/>
      <c r="F179" s="8"/>
      <c r="G179" s="8"/>
      <c r="H179" s="8"/>
      <c r="I179" s="8"/>
      <c r="J179" s="8"/>
      <c r="K179" s="8"/>
      <c r="L179" s="8"/>
      <c r="M179" s="8"/>
      <c r="N179" s="8"/>
      <c r="O179" s="8"/>
      <c r="P179" s="8"/>
      <c r="Q179" s="8"/>
      <c r="R179" s="8"/>
      <c r="S179" s="8"/>
      <c r="T179" s="8"/>
      <c r="U179" s="8"/>
      <c r="V179" s="5"/>
      <c r="W179" s="5"/>
      <c r="X179" s="5"/>
      <c r="Y179" s="5"/>
      <c r="Z179" s="5"/>
    </row>
    <row r="180" ht="15.75" customHeight="1">
      <c r="A180" s="8"/>
      <c r="B180" s="8"/>
      <c r="C180" s="8"/>
      <c r="D180" s="8"/>
      <c r="E180" s="8"/>
      <c r="F180" s="8"/>
      <c r="G180" s="8"/>
      <c r="H180" s="8"/>
      <c r="I180" s="8"/>
      <c r="J180" s="8"/>
      <c r="K180" s="8"/>
      <c r="L180" s="8"/>
      <c r="M180" s="8"/>
      <c r="N180" s="8"/>
      <c r="O180" s="8"/>
      <c r="P180" s="8"/>
      <c r="Q180" s="8"/>
      <c r="R180" s="8"/>
      <c r="S180" s="8"/>
      <c r="T180" s="8"/>
      <c r="U180" s="8"/>
      <c r="V180" s="5"/>
      <c r="W180" s="5"/>
      <c r="X180" s="5"/>
      <c r="Y180" s="5"/>
      <c r="Z180" s="5"/>
    </row>
    <row r="181" ht="15.75" customHeight="1">
      <c r="A181" s="8"/>
      <c r="B181" s="8"/>
      <c r="C181" s="8"/>
      <c r="D181" s="8"/>
      <c r="E181" s="8"/>
      <c r="F181" s="8"/>
      <c r="G181" s="8"/>
      <c r="H181" s="8"/>
      <c r="I181" s="8"/>
      <c r="J181" s="8"/>
      <c r="K181" s="8"/>
      <c r="L181" s="8"/>
      <c r="M181" s="8"/>
      <c r="N181" s="8"/>
      <c r="O181" s="8"/>
      <c r="P181" s="8"/>
      <c r="Q181" s="8"/>
      <c r="R181" s="8"/>
      <c r="S181" s="8"/>
      <c r="T181" s="8"/>
      <c r="U181" s="8"/>
      <c r="V181" s="5"/>
      <c r="W181" s="5"/>
      <c r="X181" s="5"/>
      <c r="Y181" s="5"/>
      <c r="Z181" s="5"/>
    </row>
    <row r="182" ht="15.75" customHeight="1">
      <c r="A182" s="8"/>
      <c r="B182" s="8"/>
      <c r="C182" s="8"/>
      <c r="D182" s="8"/>
      <c r="E182" s="8"/>
      <c r="F182" s="8"/>
      <c r="G182" s="8"/>
      <c r="H182" s="8"/>
      <c r="I182" s="8"/>
      <c r="J182" s="8"/>
      <c r="K182" s="8"/>
      <c r="L182" s="8"/>
      <c r="M182" s="8"/>
      <c r="N182" s="8"/>
      <c r="O182" s="8"/>
      <c r="P182" s="8"/>
      <c r="Q182" s="8"/>
      <c r="R182" s="8"/>
      <c r="S182" s="8"/>
      <c r="T182" s="8"/>
      <c r="U182" s="8"/>
      <c r="V182" s="5"/>
      <c r="W182" s="5"/>
      <c r="X182" s="5"/>
      <c r="Y182" s="5"/>
      <c r="Z182" s="5"/>
    </row>
    <row r="183" ht="15.75" customHeight="1">
      <c r="A183" s="8"/>
      <c r="B183" s="8"/>
      <c r="C183" s="8"/>
      <c r="D183" s="8"/>
      <c r="E183" s="8"/>
      <c r="F183" s="8"/>
      <c r="G183" s="8"/>
      <c r="H183" s="8"/>
      <c r="I183" s="8"/>
      <c r="J183" s="8"/>
      <c r="K183" s="8"/>
      <c r="L183" s="8"/>
      <c r="M183" s="8"/>
      <c r="N183" s="8"/>
      <c r="O183" s="8"/>
      <c r="P183" s="8"/>
      <c r="Q183" s="8"/>
      <c r="R183" s="8"/>
      <c r="S183" s="8"/>
      <c r="T183" s="8"/>
      <c r="U183" s="8"/>
      <c r="V183" s="5"/>
      <c r="W183" s="5"/>
      <c r="X183" s="5"/>
      <c r="Y183" s="5"/>
      <c r="Z183" s="5"/>
    </row>
    <row r="184" ht="15.75" customHeight="1">
      <c r="A184" s="8"/>
      <c r="B184" s="8"/>
      <c r="C184" s="8"/>
      <c r="D184" s="8"/>
      <c r="E184" s="8"/>
      <c r="F184" s="8"/>
      <c r="G184" s="8"/>
      <c r="H184" s="8"/>
      <c r="I184" s="8"/>
      <c r="J184" s="8"/>
      <c r="K184" s="8"/>
      <c r="L184" s="8"/>
      <c r="M184" s="8"/>
      <c r="N184" s="8"/>
      <c r="O184" s="8"/>
      <c r="P184" s="8"/>
      <c r="Q184" s="8"/>
      <c r="R184" s="8"/>
      <c r="S184" s="8"/>
      <c r="T184" s="8"/>
      <c r="U184" s="8"/>
      <c r="V184" s="5"/>
      <c r="W184" s="5"/>
      <c r="X184" s="5"/>
      <c r="Y184" s="5"/>
      <c r="Z184" s="5"/>
    </row>
    <row r="185" ht="15.75" customHeight="1">
      <c r="A185" s="8"/>
      <c r="B185" s="8"/>
      <c r="C185" s="8"/>
      <c r="D185" s="8"/>
      <c r="E185" s="8"/>
      <c r="F185" s="8"/>
      <c r="G185" s="8"/>
      <c r="H185" s="8"/>
      <c r="I185" s="8"/>
      <c r="J185" s="8"/>
      <c r="K185" s="8"/>
      <c r="L185" s="8"/>
      <c r="M185" s="8"/>
      <c r="N185" s="8"/>
      <c r="O185" s="8"/>
      <c r="P185" s="8"/>
      <c r="Q185" s="8"/>
      <c r="R185" s="8"/>
      <c r="S185" s="8"/>
      <c r="T185" s="8"/>
      <c r="U185" s="8"/>
      <c r="V185" s="5"/>
      <c r="W185" s="5"/>
      <c r="X185" s="5"/>
      <c r="Y185" s="5"/>
      <c r="Z185" s="5"/>
    </row>
    <row r="186" ht="15.75" customHeight="1">
      <c r="A186" s="8"/>
      <c r="B186" s="8"/>
      <c r="C186" s="8"/>
      <c r="D186" s="8"/>
      <c r="E186" s="8"/>
      <c r="F186" s="8"/>
      <c r="G186" s="8"/>
      <c r="H186" s="8"/>
      <c r="I186" s="8"/>
      <c r="J186" s="8"/>
      <c r="K186" s="8"/>
      <c r="L186" s="8"/>
      <c r="M186" s="8"/>
      <c r="N186" s="8"/>
      <c r="O186" s="8"/>
      <c r="P186" s="8"/>
      <c r="Q186" s="8"/>
      <c r="R186" s="8"/>
      <c r="S186" s="8"/>
      <c r="T186" s="8"/>
      <c r="U186" s="8"/>
      <c r="V186" s="5"/>
      <c r="W186" s="5"/>
      <c r="X186" s="5"/>
      <c r="Y186" s="5"/>
      <c r="Z186" s="5"/>
    </row>
    <row r="187" ht="15.75" customHeight="1">
      <c r="A187" s="8"/>
      <c r="B187" s="8"/>
      <c r="C187" s="8"/>
      <c r="D187" s="8"/>
      <c r="E187" s="8"/>
      <c r="F187" s="8"/>
      <c r="G187" s="8"/>
      <c r="H187" s="8"/>
      <c r="I187" s="8"/>
      <c r="J187" s="8"/>
      <c r="K187" s="8"/>
      <c r="L187" s="8"/>
      <c r="M187" s="8"/>
      <c r="N187" s="8"/>
      <c r="O187" s="8"/>
      <c r="P187" s="8"/>
      <c r="Q187" s="8"/>
      <c r="R187" s="8"/>
      <c r="S187" s="8"/>
      <c r="T187" s="8"/>
      <c r="U187" s="8"/>
      <c r="V187" s="5"/>
      <c r="W187" s="5"/>
      <c r="X187" s="5"/>
      <c r="Y187" s="5"/>
      <c r="Z187" s="5"/>
    </row>
    <row r="188" ht="15.75" customHeight="1">
      <c r="A188" s="8"/>
      <c r="B188" s="8"/>
      <c r="C188" s="8"/>
      <c r="D188" s="8"/>
      <c r="E188" s="8"/>
      <c r="F188" s="8"/>
      <c r="G188" s="8"/>
      <c r="H188" s="8"/>
      <c r="I188" s="8"/>
      <c r="J188" s="8"/>
      <c r="K188" s="8"/>
      <c r="L188" s="8"/>
      <c r="M188" s="8"/>
      <c r="N188" s="8"/>
      <c r="O188" s="8"/>
      <c r="P188" s="8"/>
      <c r="Q188" s="8"/>
      <c r="R188" s="8"/>
      <c r="S188" s="8"/>
      <c r="T188" s="8"/>
      <c r="U188" s="8"/>
      <c r="V188" s="5"/>
      <c r="W188" s="5"/>
      <c r="X188" s="5"/>
      <c r="Y188" s="5"/>
      <c r="Z188" s="5"/>
    </row>
    <row r="189" ht="15.75" customHeight="1">
      <c r="A189" s="8"/>
      <c r="B189" s="8"/>
      <c r="C189" s="8"/>
      <c r="D189" s="8"/>
      <c r="E189" s="8"/>
      <c r="F189" s="8"/>
      <c r="G189" s="8"/>
      <c r="H189" s="8"/>
      <c r="I189" s="8"/>
      <c r="J189" s="8"/>
      <c r="K189" s="8"/>
      <c r="L189" s="8"/>
      <c r="M189" s="8"/>
      <c r="N189" s="8"/>
      <c r="O189" s="8"/>
      <c r="P189" s="8"/>
      <c r="Q189" s="8"/>
      <c r="R189" s="8"/>
      <c r="S189" s="8"/>
      <c r="T189" s="8"/>
      <c r="U189" s="8"/>
      <c r="V189" s="5"/>
      <c r="W189" s="5"/>
      <c r="X189" s="5"/>
      <c r="Y189" s="5"/>
      <c r="Z189" s="5"/>
    </row>
    <row r="190" ht="15.75" customHeight="1">
      <c r="A190" s="8"/>
      <c r="B190" s="8"/>
      <c r="C190" s="8"/>
      <c r="D190" s="8"/>
      <c r="E190" s="8"/>
      <c r="F190" s="8"/>
      <c r="G190" s="8"/>
      <c r="H190" s="8"/>
      <c r="I190" s="8"/>
      <c r="J190" s="8"/>
      <c r="K190" s="8"/>
      <c r="L190" s="8"/>
      <c r="M190" s="8"/>
      <c r="N190" s="8"/>
      <c r="O190" s="8"/>
      <c r="P190" s="8"/>
      <c r="Q190" s="8"/>
      <c r="R190" s="8"/>
      <c r="S190" s="8"/>
      <c r="T190" s="8"/>
      <c r="U190" s="8"/>
      <c r="V190" s="5"/>
      <c r="W190" s="5"/>
      <c r="X190" s="5"/>
      <c r="Y190" s="5"/>
      <c r="Z190" s="5"/>
    </row>
    <row r="191" ht="15.75" customHeight="1">
      <c r="A191" s="8"/>
      <c r="B191" s="8"/>
      <c r="C191" s="8"/>
      <c r="D191" s="8"/>
      <c r="E191" s="8"/>
      <c r="F191" s="8"/>
      <c r="G191" s="8"/>
      <c r="H191" s="8"/>
      <c r="I191" s="8"/>
      <c r="J191" s="8"/>
      <c r="K191" s="8"/>
      <c r="L191" s="8"/>
      <c r="M191" s="8"/>
      <c r="N191" s="8"/>
      <c r="O191" s="8"/>
      <c r="P191" s="8"/>
      <c r="Q191" s="8"/>
      <c r="R191" s="8"/>
      <c r="S191" s="8"/>
      <c r="T191" s="8"/>
      <c r="U191" s="8"/>
      <c r="V191" s="5"/>
      <c r="W191" s="5"/>
      <c r="X191" s="5"/>
      <c r="Y191" s="5"/>
      <c r="Z191" s="5"/>
    </row>
    <row r="192" ht="15.75" customHeight="1">
      <c r="A192" s="8"/>
      <c r="B192" s="8"/>
      <c r="C192" s="8"/>
      <c r="D192" s="8"/>
      <c r="E192" s="8"/>
      <c r="F192" s="8"/>
      <c r="G192" s="8"/>
      <c r="H192" s="8"/>
      <c r="I192" s="8"/>
      <c r="J192" s="8"/>
      <c r="K192" s="8"/>
      <c r="L192" s="8"/>
      <c r="M192" s="8"/>
      <c r="N192" s="8"/>
      <c r="O192" s="8"/>
      <c r="P192" s="8"/>
      <c r="Q192" s="8"/>
      <c r="R192" s="8"/>
      <c r="S192" s="8"/>
      <c r="T192" s="8"/>
      <c r="U192" s="8"/>
      <c r="V192" s="5"/>
      <c r="W192" s="5"/>
      <c r="X192" s="5"/>
      <c r="Y192" s="5"/>
      <c r="Z192" s="5"/>
    </row>
    <row r="193" ht="15.75" customHeight="1">
      <c r="A193" s="8"/>
      <c r="B193" s="8"/>
      <c r="C193" s="8"/>
      <c r="D193" s="8"/>
      <c r="E193" s="8"/>
      <c r="F193" s="8"/>
      <c r="G193" s="8"/>
      <c r="H193" s="8"/>
      <c r="I193" s="8"/>
      <c r="J193" s="8"/>
      <c r="K193" s="8"/>
      <c r="L193" s="8"/>
      <c r="M193" s="8"/>
      <c r="N193" s="8"/>
      <c r="O193" s="8"/>
      <c r="P193" s="8"/>
      <c r="Q193" s="8"/>
      <c r="R193" s="8"/>
      <c r="S193" s="8"/>
      <c r="T193" s="8"/>
      <c r="U193" s="8"/>
      <c r="V193" s="5"/>
      <c r="W193" s="5"/>
      <c r="X193" s="5"/>
      <c r="Y193" s="5"/>
      <c r="Z193" s="5"/>
    </row>
    <row r="194" ht="15.75" customHeight="1">
      <c r="A194" s="8"/>
      <c r="B194" s="8"/>
      <c r="C194" s="8"/>
      <c r="D194" s="8"/>
      <c r="E194" s="8"/>
      <c r="F194" s="8"/>
      <c r="G194" s="8"/>
      <c r="H194" s="8"/>
      <c r="I194" s="8"/>
      <c r="J194" s="8"/>
      <c r="K194" s="8"/>
      <c r="L194" s="8"/>
      <c r="M194" s="8"/>
      <c r="N194" s="8"/>
      <c r="O194" s="8"/>
      <c r="P194" s="8"/>
      <c r="Q194" s="8"/>
      <c r="R194" s="8"/>
      <c r="S194" s="8"/>
      <c r="T194" s="8"/>
      <c r="U194" s="8"/>
      <c r="V194" s="5"/>
      <c r="W194" s="5"/>
      <c r="X194" s="5"/>
      <c r="Y194" s="5"/>
      <c r="Z194" s="5"/>
    </row>
    <row r="195" ht="15.75" customHeight="1">
      <c r="A195" s="8"/>
      <c r="B195" s="8"/>
      <c r="C195" s="8"/>
      <c r="D195" s="8"/>
      <c r="E195" s="8"/>
      <c r="F195" s="8"/>
      <c r="G195" s="8"/>
      <c r="H195" s="8"/>
      <c r="I195" s="8"/>
      <c r="J195" s="8"/>
      <c r="K195" s="8"/>
      <c r="L195" s="8"/>
      <c r="M195" s="8"/>
      <c r="N195" s="8"/>
      <c r="O195" s="8"/>
      <c r="P195" s="8"/>
      <c r="Q195" s="8"/>
      <c r="R195" s="8"/>
      <c r="S195" s="8"/>
      <c r="T195" s="8"/>
      <c r="U195" s="8"/>
      <c r="V195" s="5"/>
      <c r="W195" s="5"/>
      <c r="X195" s="5"/>
      <c r="Y195" s="5"/>
      <c r="Z195" s="5"/>
    </row>
    <row r="196" ht="15.75" customHeight="1">
      <c r="A196" s="8"/>
      <c r="B196" s="8"/>
      <c r="C196" s="8"/>
      <c r="D196" s="8"/>
      <c r="E196" s="8"/>
      <c r="F196" s="8"/>
      <c r="G196" s="8"/>
      <c r="H196" s="8"/>
      <c r="I196" s="8"/>
      <c r="J196" s="8"/>
      <c r="K196" s="8"/>
      <c r="L196" s="8"/>
      <c r="M196" s="8"/>
      <c r="N196" s="8"/>
      <c r="O196" s="8"/>
      <c r="P196" s="8"/>
      <c r="Q196" s="8"/>
      <c r="R196" s="8"/>
      <c r="S196" s="8"/>
      <c r="T196" s="8"/>
      <c r="U196" s="8"/>
      <c r="V196" s="5"/>
      <c r="W196" s="5"/>
      <c r="X196" s="5"/>
      <c r="Y196" s="5"/>
      <c r="Z196" s="5"/>
    </row>
    <row r="197" ht="15.75" customHeight="1">
      <c r="A197" s="8"/>
      <c r="B197" s="8"/>
      <c r="C197" s="8"/>
      <c r="D197" s="8"/>
      <c r="E197" s="8"/>
      <c r="F197" s="8"/>
      <c r="G197" s="8"/>
      <c r="H197" s="8"/>
      <c r="I197" s="8"/>
      <c r="J197" s="8"/>
      <c r="K197" s="8"/>
      <c r="L197" s="8"/>
      <c r="M197" s="8"/>
      <c r="N197" s="8"/>
      <c r="O197" s="8"/>
      <c r="P197" s="8"/>
      <c r="Q197" s="8"/>
      <c r="R197" s="8"/>
      <c r="S197" s="8"/>
      <c r="T197" s="8"/>
      <c r="U197" s="8"/>
      <c r="V197" s="5"/>
      <c r="W197" s="5"/>
      <c r="X197" s="5"/>
      <c r="Y197" s="5"/>
      <c r="Z197" s="5"/>
    </row>
    <row r="198" ht="15.75" customHeight="1">
      <c r="A198" s="8"/>
      <c r="B198" s="8"/>
      <c r="C198" s="8"/>
      <c r="D198" s="8"/>
      <c r="E198" s="8"/>
      <c r="F198" s="8"/>
      <c r="G198" s="8"/>
      <c r="H198" s="8"/>
      <c r="I198" s="8"/>
      <c r="J198" s="8"/>
      <c r="K198" s="8"/>
      <c r="L198" s="8"/>
      <c r="M198" s="8"/>
      <c r="N198" s="8"/>
      <c r="O198" s="8"/>
      <c r="P198" s="8"/>
      <c r="Q198" s="8"/>
      <c r="R198" s="8"/>
      <c r="S198" s="8"/>
      <c r="T198" s="8"/>
      <c r="U198" s="8"/>
      <c r="V198" s="5"/>
      <c r="W198" s="5"/>
      <c r="X198" s="5"/>
      <c r="Y198" s="5"/>
      <c r="Z198" s="5"/>
    </row>
    <row r="199" ht="15.75" customHeight="1">
      <c r="A199" s="8"/>
      <c r="B199" s="8"/>
      <c r="C199" s="8"/>
      <c r="D199" s="8"/>
      <c r="E199" s="8"/>
      <c r="F199" s="8"/>
      <c r="G199" s="8"/>
      <c r="H199" s="8"/>
      <c r="I199" s="8"/>
      <c r="J199" s="8"/>
      <c r="K199" s="8"/>
      <c r="L199" s="8"/>
      <c r="M199" s="8"/>
      <c r="N199" s="8"/>
      <c r="O199" s="8"/>
      <c r="P199" s="8"/>
      <c r="Q199" s="8"/>
      <c r="R199" s="8"/>
      <c r="S199" s="8"/>
      <c r="T199" s="8"/>
      <c r="U199" s="8"/>
      <c r="V199" s="5"/>
      <c r="W199" s="5"/>
      <c r="X199" s="5"/>
      <c r="Y199" s="5"/>
      <c r="Z199" s="5"/>
    </row>
    <row r="200" ht="15.75" customHeight="1">
      <c r="A200" s="8"/>
      <c r="B200" s="8"/>
      <c r="C200" s="8"/>
      <c r="D200" s="8"/>
      <c r="E200" s="8"/>
      <c r="F200" s="8"/>
      <c r="G200" s="8"/>
      <c r="H200" s="8"/>
      <c r="I200" s="8"/>
      <c r="J200" s="8"/>
      <c r="K200" s="8"/>
      <c r="L200" s="8"/>
      <c r="M200" s="8"/>
      <c r="N200" s="8"/>
      <c r="O200" s="8"/>
      <c r="P200" s="8"/>
      <c r="Q200" s="8"/>
      <c r="R200" s="8"/>
      <c r="S200" s="8"/>
      <c r="T200" s="8"/>
      <c r="U200" s="8"/>
      <c r="V200" s="5"/>
      <c r="W200" s="5"/>
      <c r="X200" s="5"/>
      <c r="Y200" s="5"/>
      <c r="Z200" s="5"/>
    </row>
    <row r="201" ht="15.75" customHeight="1">
      <c r="A201" s="8"/>
      <c r="B201" s="8"/>
      <c r="C201" s="8"/>
      <c r="D201" s="8"/>
      <c r="E201" s="8"/>
      <c r="F201" s="8"/>
      <c r="G201" s="8"/>
      <c r="H201" s="8"/>
      <c r="I201" s="8"/>
      <c r="J201" s="8"/>
      <c r="K201" s="8"/>
      <c r="L201" s="8"/>
      <c r="M201" s="8"/>
      <c r="N201" s="8"/>
      <c r="O201" s="8"/>
      <c r="P201" s="8"/>
      <c r="Q201" s="8"/>
      <c r="R201" s="8"/>
      <c r="S201" s="8"/>
      <c r="T201" s="8"/>
      <c r="U201" s="8"/>
      <c r="V201" s="5"/>
      <c r="W201" s="5"/>
      <c r="X201" s="5"/>
      <c r="Y201" s="5"/>
      <c r="Z201" s="5"/>
    </row>
    <row r="202" ht="15.75" customHeight="1">
      <c r="A202" s="8"/>
      <c r="B202" s="8"/>
      <c r="C202" s="8"/>
      <c r="D202" s="8"/>
      <c r="E202" s="8"/>
      <c r="F202" s="8"/>
      <c r="G202" s="8"/>
      <c r="H202" s="8"/>
      <c r="I202" s="8"/>
      <c r="J202" s="8"/>
      <c r="K202" s="8"/>
      <c r="L202" s="8"/>
      <c r="M202" s="8"/>
      <c r="N202" s="8"/>
      <c r="O202" s="8"/>
      <c r="P202" s="8"/>
      <c r="Q202" s="8"/>
      <c r="R202" s="8"/>
      <c r="S202" s="8"/>
      <c r="T202" s="8"/>
      <c r="U202" s="8"/>
      <c r="V202" s="5"/>
      <c r="W202" s="5"/>
      <c r="X202" s="5"/>
      <c r="Y202" s="5"/>
      <c r="Z202" s="5"/>
    </row>
    <row r="203" ht="15.75" customHeight="1">
      <c r="A203" s="8"/>
      <c r="B203" s="8"/>
      <c r="C203" s="8"/>
      <c r="D203" s="8"/>
      <c r="E203" s="8"/>
      <c r="F203" s="8"/>
      <c r="G203" s="8"/>
      <c r="H203" s="8"/>
      <c r="I203" s="8"/>
      <c r="J203" s="8"/>
      <c r="K203" s="8"/>
      <c r="L203" s="8"/>
      <c r="M203" s="8"/>
      <c r="N203" s="8"/>
      <c r="O203" s="8"/>
      <c r="P203" s="8"/>
      <c r="Q203" s="8"/>
      <c r="R203" s="8"/>
      <c r="S203" s="8"/>
      <c r="T203" s="8"/>
      <c r="U203" s="8"/>
      <c r="V203" s="5"/>
      <c r="W203" s="5"/>
      <c r="X203" s="5"/>
      <c r="Y203" s="5"/>
      <c r="Z203" s="5"/>
    </row>
    <row r="204" ht="15.75" customHeight="1">
      <c r="A204" s="8"/>
      <c r="B204" s="8"/>
      <c r="C204" s="8"/>
      <c r="D204" s="8"/>
      <c r="E204" s="8"/>
      <c r="F204" s="8"/>
      <c r="G204" s="8"/>
      <c r="H204" s="8"/>
      <c r="I204" s="8"/>
      <c r="J204" s="8"/>
      <c r="K204" s="8"/>
      <c r="L204" s="8"/>
      <c r="M204" s="8"/>
      <c r="N204" s="8"/>
      <c r="O204" s="8"/>
      <c r="P204" s="8"/>
      <c r="Q204" s="8"/>
      <c r="R204" s="8"/>
      <c r="S204" s="8"/>
      <c r="T204" s="8"/>
      <c r="U204" s="8"/>
      <c r="V204" s="5"/>
      <c r="W204" s="5"/>
      <c r="X204" s="5"/>
      <c r="Y204" s="5"/>
      <c r="Z204" s="5"/>
    </row>
    <row r="205" ht="15.75" customHeight="1">
      <c r="A205" s="8"/>
      <c r="B205" s="8"/>
      <c r="C205" s="8"/>
      <c r="D205" s="8"/>
      <c r="E205" s="8"/>
      <c r="F205" s="8"/>
      <c r="G205" s="8"/>
      <c r="H205" s="8"/>
      <c r="I205" s="8"/>
      <c r="J205" s="8"/>
      <c r="K205" s="8"/>
      <c r="L205" s="8"/>
      <c r="M205" s="8"/>
      <c r="N205" s="8"/>
      <c r="O205" s="8"/>
      <c r="P205" s="8"/>
      <c r="Q205" s="8"/>
      <c r="R205" s="8"/>
      <c r="S205" s="8"/>
      <c r="T205" s="8"/>
      <c r="U205" s="8"/>
      <c r="V205" s="5"/>
      <c r="W205" s="5"/>
      <c r="X205" s="5"/>
      <c r="Y205" s="5"/>
      <c r="Z205" s="5"/>
    </row>
    <row r="206" ht="15.75" customHeight="1">
      <c r="A206" s="8"/>
      <c r="B206" s="8"/>
      <c r="C206" s="8"/>
      <c r="D206" s="8"/>
      <c r="E206" s="8"/>
      <c r="F206" s="8"/>
      <c r="G206" s="8"/>
      <c r="H206" s="8"/>
      <c r="I206" s="8"/>
      <c r="J206" s="8"/>
      <c r="K206" s="8"/>
      <c r="L206" s="8"/>
      <c r="M206" s="8"/>
      <c r="N206" s="8"/>
      <c r="O206" s="8"/>
      <c r="P206" s="8"/>
      <c r="Q206" s="8"/>
      <c r="R206" s="8"/>
      <c r="S206" s="8"/>
      <c r="T206" s="8"/>
      <c r="U206" s="8"/>
      <c r="V206" s="5"/>
      <c r="W206" s="5"/>
      <c r="X206" s="5"/>
      <c r="Y206" s="5"/>
      <c r="Z206" s="5"/>
    </row>
    <row r="207" ht="15.75" customHeight="1">
      <c r="A207" s="8"/>
      <c r="B207" s="8"/>
      <c r="C207" s="8"/>
      <c r="D207" s="8"/>
      <c r="E207" s="8"/>
      <c r="F207" s="8"/>
      <c r="G207" s="8"/>
      <c r="H207" s="8"/>
      <c r="I207" s="8"/>
      <c r="J207" s="8"/>
      <c r="K207" s="8"/>
      <c r="L207" s="8"/>
      <c r="M207" s="8"/>
      <c r="N207" s="8"/>
      <c r="O207" s="8"/>
      <c r="P207" s="8"/>
      <c r="Q207" s="8"/>
      <c r="R207" s="8"/>
      <c r="S207" s="8"/>
      <c r="T207" s="8"/>
      <c r="U207" s="8"/>
      <c r="V207" s="5"/>
      <c r="W207" s="5"/>
      <c r="X207" s="5"/>
      <c r="Y207" s="5"/>
      <c r="Z207" s="5"/>
    </row>
    <row r="208" ht="15.75" customHeight="1">
      <c r="A208" s="8"/>
      <c r="B208" s="8"/>
      <c r="C208" s="8"/>
      <c r="D208" s="8"/>
      <c r="E208" s="8"/>
      <c r="F208" s="8"/>
      <c r="G208" s="8"/>
      <c r="H208" s="8"/>
      <c r="I208" s="8"/>
      <c r="J208" s="8"/>
      <c r="K208" s="8"/>
      <c r="L208" s="8"/>
      <c r="M208" s="8"/>
      <c r="N208" s="8"/>
      <c r="O208" s="8"/>
      <c r="P208" s="8"/>
      <c r="Q208" s="8"/>
      <c r="R208" s="8"/>
      <c r="S208" s="8"/>
      <c r="T208" s="8"/>
      <c r="U208" s="8"/>
      <c r="V208" s="5"/>
      <c r="W208" s="5"/>
      <c r="X208" s="5"/>
      <c r="Y208" s="5"/>
      <c r="Z208" s="5"/>
    </row>
    <row r="209" ht="15.75" customHeight="1">
      <c r="A209" s="8"/>
      <c r="B209" s="8"/>
      <c r="C209" s="8"/>
      <c r="D209" s="8"/>
      <c r="E209" s="8"/>
      <c r="F209" s="8"/>
      <c r="G209" s="8"/>
      <c r="H209" s="8"/>
      <c r="I209" s="8"/>
      <c r="J209" s="8"/>
      <c r="K209" s="8"/>
      <c r="L209" s="8"/>
      <c r="M209" s="8"/>
      <c r="N209" s="8"/>
      <c r="O209" s="8"/>
      <c r="P209" s="8"/>
      <c r="Q209" s="8"/>
      <c r="R209" s="8"/>
      <c r="S209" s="8"/>
      <c r="T209" s="8"/>
      <c r="U209" s="8"/>
      <c r="V209" s="5"/>
      <c r="W209" s="5"/>
      <c r="X209" s="5"/>
      <c r="Y209" s="5"/>
      <c r="Z209" s="5"/>
    </row>
    <row r="210" ht="15.75" customHeight="1">
      <c r="A210" s="8"/>
      <c r="B210" s="8"/>
      <c r="C210" s="8"/>
      <c r="D210" s="8"/>
      <c r="E210" s="8"/>
      <c r="F210" s="8"/>
      <c r="G210" s="8"/>
      <c r="H210" s="8"/>
      <c r="I210" s="8"/>
      <c r="J210" s="8"/>
      <c r="K210" s="8"/>
      <c r="L210" s="8"/>
      <c r="M210" s="8"/>
      <c r="N210" s="8"/>
      <c r="O210" s="8"/>
      <c r="P210" s="8"/>
      <c r="Q210" s="8"/>
      <c r="R210" s="8"/>
      <c r="S210" s="8"/>
      <c r="T210" s="8"/>
      <c r="U210" s="8"/>
      <c r="V210" s="5"/>
      <c r="W210" s="5"/>
      <c r="X210" s="5"/>
      <c r="Y210" s="5"/>
      <c r="Z210" s="5"/>
    </row>
    <row r="211" ht="15.75" customHeight="1">
      <c r="A211" s="8"/>
      <c r="B211" s="8"/>
      <c r="C211" s="8"/>
      <c r="D211" s="8"/>
      <c r="E211" s="8"/>
      <c r="F211" s="8"/>
      <c r="G211" s="8"/>
      <c r="H211" s="8"/>
      <c r="I211" s="8"/>
      <c r="J211" s="8"/>
      <c r="K211" s="8"/>
      <c r="L211" s="8"/>
      <c r="M211" s="8"/>
      <c r="N211" s="8"/>
      <c r="O211" s="8"/>
      <c r="P211" s="8"/>
      <c r="Q211" s="8"/>
      <c r="R211" s="8"/>
      <c r="S211" s="8"/>
      <c r="T211" s="8"/>
      <c r="U211" s="8"/>
      <c r="V211" s="5"/>
      <c r="W211" s="5"/>
      <c r="X211" s="5"/>
      <c r="Y211" s="5"/>
      <c r="Z211" s="5"/>
    </row>
    <row r="212" ht="15.75" customHeight="1">
      <c r="A212" s="8"/>
      <c r="B212" s="8"/>
      <c r="C212" s="8"/>
      <c r="D212" s="8"/>
      <c r="E212" s="8"/>
      <c r="F212" s="8"/>
      <c r="G212" s="8"/>
      <c r="H212" s="8"/>
      <c r="I212" s="8"/>
      <c r="J212" s="8"/>
      <c r="K212" s="8"/>
      <c r="L212" s="8"/>
      <c r="M212" s="8"/>
      <c r="N212" s="8"/>
      <c r="O212" s="8"/>
      <c r="P212" s="8"/>
      <c r="Q212" s="8"/>
      <c r="R212" s="8"/>
      <c r="S212" s="8"/>
      <c r="T212" s="8"/>
      <c r="U212" s="8"/>
      <c r="V212" s="5"/>
      <c r="W212" s="5"/>
      <c r="X212" s="5"/>
      <c r="Y212" s="5"/>
      <c r="Z212" s="5"/>
    </row>
    <row r="213" ht="15.75" customHeight="1">
      <c r="A213" s="8"/>
      <c r="B213" s="8"/>
      <c r="C213" s="8"/>
      <c r="D213" s="8"/>
      <c r="E213" s="8"/>
      <c r="F213" s="8"/>
      <c r="G213" s="8"/>
      <c r="H213" s="8"/>
      <c r="I213" s="8"/>
      <c r="J213" s="8"/>
      <c r="K213" s="8"/>
      <c r="L213" s="8"/>
      <c r="M213" s="8"/>
      <c r="N213" s="8"/>
      <c r="O213" s="8"/>
      <c r="P213" s="8"/>
      <c r="Q213" s="8"/>
      <c r="R213" s="8"/>
      <c r="S213" s="8"/>
      <c r="T213" s="8"/>
      <c r="U213" s="8"/>
      <c r="V213" s="5"/>
      <c r="W213" s="5"/>
      <c r="X213" s="5"/>
      <c r="Y213" s="5"/>
      <c r="Z213" s="5"/>
    </row>
    <row r="214" ht="15.75" customHeight="1">
      <c r="A214" s="8"/>
      <c r="B214" s="8"/>
      <c r="C214" s="8"/>
      <c r="D214" s="8"/>
      <c r="E214" s="8"/>
      <c r="F214" s="8"/>
      <c r="G214" s="8"/>
      <c r="H214" s="8"/>
      <c r="I214" s="8"/>
      <c r="J214" s="8"/>
      <c r="K214" s="8"/>
      <c r="L214" s="8"/>
      <c r="M214" s="8"/>
      <c r="N214" s="8"/>
      <c r="O214" s="8"/>
      <c r="P214" s="8"/>
      <c r="Q214" s="8"/>
      <c r="R214" s="8"/>
      <c r="S214" s="8"/>
      <c r="T214" s="8"/>
      <c r="U214" s="8"/>
      <c r="V214" s="5"/>
      <c r="W214" s="5"/>
      <c r="X214" s="5"/>
      <c r="Y214" s="5"/>
      <c r="Z214" s="5"/>
    </row>
    <row r="215" ht="15.75" customHeight="1">
      <c r="A215" s="8"/>
      <c r="B215" s="8"/>
      <c r="C215" s="8"/>
      <c r="D215" s="8"/>
      <c r="E215" s="8"/>
      <c r="F215" s="8"/>
      <c r="G215" s="8"/>
      <c r="H215" s="8"/>
      <c r="I215" s="8"/>
      <c r="J215" s="8"/>
      <c r="K215" s="8"/>
      <c r="L215" s="8"/>
      <c r="M215" s="8"/>
      <c r="N215" s="8"/>
      <c r="O215" s="8"/>
      <c r="P215" s="8"/>
      <c r="Q215" s="8"/>
      <c r="R215" s="8"/>
      <c r="S215" s="8"/>
      <c r="T215" s="8"/>
      <c r="U215" s="8"/>
      <c r="V215" s="5"/>
      <c r="W215" s="5"/>
      <c r="X215" s="5"/>
      <c r="Y215" s="5"/>
      <c r="Z215" s="5"/>
    </row>
    <row r="216" ht="15.75" customHeight="1">
      <c r="A216" s="8"/>
      <c r="B216" s="8"/>
      <c r="C216" s="8"/>
      <c r="D216" s="8"/>
      <c r="E216" s="8"/>
      <c r="F216" s="8"/>
      <c r="G216" s="8"/>
      <c r="H216" s="8"/>
      <c r="I216" s="8"/>
      <c r="J216" s="8"/>
      <c r="K216" s="8"/>
      <c r="L216" s="8"/>
      <c r="M216" s="8"/>
      <c r="N216" s="8"/>
      <c r="O216" s="8"/>
      <c r="P216" s="8"/>
      <c r="Q216" s="8"/>
      <c r="R216" s="8"/>
      <c r="S216" s="8"/>
      <c r="T216" s="8"/>
      <c r="U216" s="8"/>
      <c r="V216" s="5"/>
      <c r="W216" s="5"/>
      <c r="X216" s="5"/>
      <c r="Y216" s="5"/>
      <c r="Z216" s="5"/>
    </row>
    <row r="217" ht="15.75" customHeight="1">
      <c r="A217" s="8"/>
      <c r="B217" s="8"/>
      <c r="C217" s="8"/>
      <c r="D217" s="8"/>
      <c r="E217" s="8"/>
      <c r="F217" s="8"/>
      <c r="G217" s="8"/>
      <c r="H217" s="8"/>
      <c r="I217" s="8"/>
      <c r="J217" s="8"/>
      <c r="K217" s="8"/>
      <c r="L217" s="8"/>
      <c r="M217" s="8"/>
      <c r="N217" s="8"/>
      <c r="O217" s="8"/>
      <c r="P217" s="8"/>
      <c r="Q217" s="8"/>
      <c r="R217" s="8"/>
      <c r="S217" s="8"/>
      <c r="T217" s="8"/>
      <c r="U217" s="8"/>
      <c r="V217" s="5"/>
      <c r="W217" s="5"/>
      <c r="X217" s="5"/>
      <c r="Y217" s="5"/>
      <c r="Z217" s="5"/>
    </row>
    <row r="218" ht="15.75" customHeight="1">
      <c r="A218" s="8"/>
      <c r="B218" s="8"/>
      <c r="C218" s="8"/>
      <c r="D218" s="8"/>
      <c r="E218" s="8"/>
      <c r="F218" s="8"/>
      <c r="G218" s="8"/>
      <c r="H218" s="8"/>
      <c r="I218" s="8"/>
      <c r="J218" s="8"/>
      <c r="K218" s="8"/>
      <c r="L218" s="8"/>
      <c r="M218" s="8"/>
      <c r="N218" s="8"/>
      <c r="O218" s="8"/>
      <c r="P218" s="8"/>
      <c r="Q218" s="8"/>
      <c r="R218" s="8"/>
      <c r="S218" s="8"/>
      <c r="T218" s="8"/>
      <c r="U218" s="8"/>
      <c r="V218" s="5"/>
      <c r="W218" s="5"/>
      <c r="X218" s="5"/>
      <c r="Y218" s="5"/>
      <c r="Z218" s="5"/>
    </row>
    <row r="219" ht="15.75" customHeight="1">
      <c r="A219" s="8"/>
      <c r="B219" s="8"/>
      <c r="C219" s="8"/>
      <c r="D219" s="8"/>
      <c r="E219" s="8"/>
      <c r="F219" s="8"/>
      <c r="G219" s="8"/>
      <c r="H219" s="8"/>
      <c r="I219" s="8"/>
      <c r="J219" s="8"/>
      <c r="K219" s="8"/>
      <c r="L219" s="8"/>
      <c r="M219" s="8"/>
      <c r="N219" s="8"/>
      <c r="O219" s="8"/>
      <c r="P219" s="8"/>
      <c r="Q219" s="8"/>
      <c r="R219" s="8"/>
      <c r="S219" s="8"/>
      <c r="T219" s="8"/>
      <c r="U219" s="8"/>
      <c r="V219" s="5"/>
      <c r="W219" s="5"/>
      <c r="X219" s="5"/>
      <c r="Y219" s="5"/>
      <c r="Z219" s="5"/>
    </row>
    <row r="220" ht="15.75" customHeight="1">
      <c r="A220" s="8"/>
      <c r="B220" s="8"/>
      <c r="C220" s="8"/>
      <c r="D220" s="8"/>
      <c r="E220" s="8"/>
      <c r="F220" s="8"/>
      <c r="G220" s="8"/>
      <c r="H220" s="8"/>
      <c r="I220" s="8"/>
      <c r="J220" s="8"/>
      <c r="K220" s="8"/>
      <c r="L220" s="8"/>
      <c r="M220" s="8"/>
      <c r="N220" s="8"/>
      <c r="O220" s="8"/>
      <c r="P220" s="8"/>
      <c r="Q220" s="8"/>
      <c r="R220" s="8"/>
      <c r="S220" s="8"/>
      <c r="T220" s="8"/>
      <c r="U220" s="8"/>
      <c r="V220" s="5"/>
      <c r="W220" s="5"/>
      <c r="X220" s="5"/>
      <c r="Y220" s="5"/>
      <c r="Z220" s="5"/>
    </row>
    <row r="221" ht="15.75" customHeight="1">
      <c r="A221" s="8"/>
      <c r="B221" s="8"/>
      <c r="C221" s="8"/>
      <c r="D221" s="8"/>
      <c r="E221" s="8"/>
      <c r="F221" s="8"/>
      <c r="G221" s="8"/>
      <c r="H221" s="8"/>
      <c r="I221" s="8"/>
      <c r="J221" s="8"/>
      <c r="K221" s="8"/>
      <c r="L221" s="8"/>
      <c r="M221" s="8"/>
      <c r="N221" s="8"/>
      <c r="O221" s="8"/>
      <c r="P221" s="8"/>
      <c r="Q221" s="8"/>
      <c r="R221" s="8"/>
      <c r="S221" s="8"/>
      <c r="T221" s="8"/>
      <c r="U221" s="8"/>
      <c r="V221" s="5"/>
      <c r="W221" s="5"/>
      <c r="X221" s="5"/>
      <c r="Y221" s="5"/>
      <c r="Z221" s="5"/>
    </row>
    <row r="222" ht="15.75" customHeight="1">
      <c r="A222" s="8"/>
      <c r="B222" s="8"/>
      <c r="C222" s="8"/>
      <c r="D222" s="8"/>
      <c r="E222" s="8"/>
      <c r="F222" s="8"/>
      <c r="G222" s="8"/>
      <c r="H222" s="8"/>
      <c r="I222" s="8"/>
      <c r="J222" s="8"/>
      <c r="K222" s="8"/>
      <c r="L222" s="8"/>
      <c r="M222" s="8"/>
      <c r="N222" s="8"/>
      <c r="O222" s="8"/>
      <c r="P222" s="8"/>
      <c r="Q222" s="8"/>
      <c r="R222" s="8"/>
      <c r="S222" s="8"/>
      <c r="T222" s="8"/>
      <c r="U222" s="8"/>
      <c r="V222" s="5"/>
      <c r="W222" s="5"/>
      <c r="X222" s="5"/>
      <c r="Y222" s="5"/>
      <c r="Z222" s="5"/>
    </row>
    <row r="223" ht="15.75" customHeight="1">
      <c r="A223" s="8"/>
      <c r="B223" s="8"/>
      <c r="C223" s="8"/>
      <c r="D223" s="8"/>
      <c r="E223" s="8"/>
      <c r="F223" s="8"/>
      <c r="G223" s="8"/>
      <c r="H223" s="8"/>
      <c r="I223" s="8"/>
      <c r="J223" s="8"/>
      <c r="K223" s="8"/>
      <c r="L223" s="8"/>
      <c r="M223" s="8"/>
      <c r="N223" s="8"/>
      <c r="O223" s="8"/>
      <c r="P223" s="8"/>
      <c r="Q223" s="8"/>
      <c r="R223" s="8"/>
      <c r="S223" s="8"/>
      <c r="T223" s="8"/>
      <c r="U223" s="8"/>
      <c r="V223" s="5"/>
      <c r="W223" s="5"/>
      <c r="X223" s="5"/>
      <c r="Y223" s="5"/>
      <c r="Z223" s="5"/>
    </row>
    <row r="224" ht="15.75" customHeight="1">
      <c r="A224" s="8"/>
      <c r="B224" s="8"/>
      <c r="C224" s="8"/>
      <c r="D224" s="8"/>
      <c r="E224" s="8"/>
      <c r="F224" s="8"/>
      <c r="G224" s="8"/>
      <c r="H224" s="8"/>
      <c r="I224" s="8"/>
      <c r="J224" s="8"/>
      <c r="K224" s="8"/>
      <c r="L224" s="8"/>
      <c r="M224" s="8"/>
      <c r="N224" s="8"/>
      <c r="O224" s="8"/>
      <c r="P224" s="8"/>
      <c r="Q224" s="8"/>
      <c r="R224" s="8"/>
      <c r="S224" s="8"/>
      <c r="T224" s="8"/>
      <c r="U224" s="8"/>
      <c r="V224" s="5"/>
      <c r="W224" s="5"/>
      <c r="X224" s="5"/>
      <c r="Y224" s="5"/>
      <c r="Z224" s="5"/>
    </row>
    <row r="225" ht="15.75" customHeight="1">
      <c r="A225" s="8"/>
      <c r="B225" s="8"/>
      <c r="C225" s="8"/>
      <c r="D225" s="8"/>
      <c r="E225" s="8"/>
      <c r="F225" s="8"/>
      <c r="G225" s="8"/>
      <c r="H225" s="8"/>
      <c r="I225" s="8"/>
      <c r="J225" s="8"/>
      <c r="K225" s="8"/>
      <c r="L225" s="8"/>
      <c r="M225" s="8"/>
      <c r="N225" s="8"/>
      <c r="O225" s="8"/>
      <c r="P225" s="8"/>
      <c r="Q225" s="8"/>
      <c r="R225" s="8"/>
      <c r="S225" s="8"/>
      <c r="T225" s="8"/>
      <c r="U225" s="8"/>
      <c r="V225" s="5"/>
      <c r="W225" s="5"/>
      <c r="X225" s="5"/>
      <c r="Y225" s="5"/>
      <c r="Z225" s="5"/>
    </row>
    <row r="226" ht="15.75" customHeight="1">
      <c r="A226" s="8"/>
      <c r="B226" s="8"/>
      <c r="C226" s="8"/>
      <c r="D226" s="8"/>
      <c r="E226" s="8"/>
      <c r="F226" s="8"/>
      <c r="G226" s="8"/>
      <c r="H226" s="8"/>
      <c r="I226" s="8"/>
      <c r="J226" s="8"/>
      <c r="K226" s="8"/>
      <c r="L226" s="8"/>
      <c r="M226" s="8"/>
      <c r="N226" s="8"/>
      <c r="O226" s="8"/>
      <c r="P226" s="8"/>
      <c r="Q226" s="8"/>
      <c r="R226" s="8"/>
      <c r="S226" s="8"/>
      <c r="T226" s="8"/>
      <c r="U226" s="8"/>
      <c r="V226" s="5"/>
      <c r="W226" s="5"/>
      <c r="X226" s="5"/>
      <c r="Y226" s="5"/>
      <c r="Z226" s="5"/>
    </row>
    <row r="227" ht="15.75" customHeight="1">
      <c r="A227" s="8"/>
      <c r="B227" s="8"/>
      <c r="C227" s="8"/>
      <c r="D227" s="8"/>
      <c r="E227" s="8"/>
      <c r="F227" s="8"/>
      <c r="G227" s="8"/>
      <c r="H227" s="8"/>
      <c r="I227" s="8"/>
      <c r="J227" s="8"/>
      <c r="K227" s="8"/>
      <c r="L227" s="8"/>
      <c r="M227" s="8"/>
      <c r="N227" s="8"/>
      <c r="O227" s="8"/>
      <c r="P227" s="8"/>
      <c r="Q227" s="8"/>
      <c r="R227" s="8"/>
      <c r="S227" s="8"/>
      <c r="T227" s="8"/>
      <c r="U227" s="8"/>
      <c r="V227" s="5"/>
      <c r="W227" s="5"/>
      <c r="X227" s="5"/>
      <c r="Y227" s="5"/>
      <c r="Z227" s="5"/>
    </row>
    <row r="228" ht="15.75" customHeight="1">
      <c r="A228" s="8"/>
      <c r="B228" s="8"/>
      <c r="C228" s="8"/>
      <c r="D228" s="8"/>
      <c r="E228" s="8"/>
      <c r="F228" s="8"/>
      <c r="G228" s="8"/>
      <c r="H228" s="8"/>
      <c r="I228" s="8"/>
      <c r="J228" s="8"/>
      <c r="K228" s="8"/>
      <c r="L228" s="8"/>
      <c r="M228" s="8"/>
      <c r="N228" s="8"/>
      <c r="O228" s="8"/>
      <c r="P228" s="8"/>
      <c r="Q228" s="8"/>
      <c r="R228" s="8"/>
      <c r="S228" s="8"/>
      <c r="T228" s="8"/>
      <c r="U228" s="8"/>
      <c r="V228" s="5"/>
      <c r="W228" s="5"/>
      <c r="X228" s="5"/>
      <c r="Y228" s="5"/>
      <c r="Z228" s="5"/>
    </row>
    <row r="229" ht="15.75" customHeight="1">
      <c r="A229" s="8"/>
      <c r="B229" s="8"/>
      <c r="C229" s="8"/>
      <c r="D229" s="8"/>
      <c r="E229" s="8"/>
      <c r="F229" s="8"/>
      <c r="G229" s="8"/>
      <c r="H229" s="8"/>
      <c r="I229" s="8"/>
      <c r="J229" s="8"/>
      <c r="K229" s="8"/>
      <c r="L229" s="8"/>
      <c r="M229" s="8"/>
      <c r="N229" s="8"/>
      <c r="O229" s="8"/>
      <c r="P229" s="8"/>
      <c r="Q229" s="8"/>
      <c r="R229" s="8"/>
      <c r="S229" s="8"/>
      <c r="T229" s="8"/>
      <c r="U229" s="8"/>
      <c r="V229" s="5"/>
      <c r="W229" s="5"/>
      <c r="X229" s="5"/>
      <c r="Y229" s="5"/>
      <c r="Z229" s="5"/>
    </row>
    <row r="230" ht="15.75" customHeight="1">
      <c r="A230" s="8"/>
      <c r="B230" s="8"/>
      <c r="C230" s="8"/>
      <c r="D230" s="8"/>
      <c r="E230" s="8"/>
      <c r="F230" s="8"/>
      <c r="G230" s="8"/>
      <c r="H230" s="8"/>
      <c r="I230" s="8"/>
      <c r="J230" s="8"/>
      <c r="K230" s="8"/>
      <c r="L230" s="8"/>
      <c r="M230" s="8"/>
      <c r="N230" s="8"/>
      <c r="O230" s="8"/>
      <c r="P230" s="8"/>
      <c r="Q230" s="8"/>
      <c r="R230" s="8"/>
      <c r="S230" s="8"/>
      <c r="T230" s="8"/>
      <c r="U230" s="8"/>
      <c r="V230" s="5"/>
      <c r="W230" s="5"/>
      <c r="X230" s="5"/>
      <c r="Y230" s="5"/>
      <c r="Z230" s="5"/>
    </row>
    <row r="231" ht="15.75" customHeight="1">
      <c r="A231" s="8"/>
      <c r="B231" s="8"/>
      <c r="C231" s="8"/>
      <c r="D231" s="8"/>
      <c r="E231" s="8"/>
      <c r="F231" s="8"/>
      <c r="G231" s="8"/>
      <c r="H231" s="8"/>
      <c r="I231" s="8"/>
      <c r="J231" s="8"/>
      <c r="K231" s="8"/>
      <c r="L231" s="8"/>
      <c r="M231" s="8"/>
      <c r="N231" s="8"/>
      <c r="O231" s="8"/>
      <c r="P231" s="8"/>
      <c r="Q231" s="8"/>
      <c r="R231" s="8"/>
      <c r="S231" s="8"/>
      <c r="T231" s="8"/>
      <c r="U231" s="8"/>
      <c r="V231" s="5"/>
      <c r="W231" s="5"/>
      <c r="X231" s="5"/>
      <c r="Y231" s="5"/>
      <c r="Z231" s="5"/>
    </row>
    <row r="232" ht="15.75" customHeight="1">
      <c r="A232" s="8"/>
      <c r="B232" s="8"/>
      <c r="C232" s="8"/>
      <c r="D232" s="8"/>
      <c r="E232" s="8"/>
      <c r="F232" s="8"/>
      <c r="G232" s="8"/>
      <c r="H232" s="8"/>
      <c r="I232" s="8"/>
      <c r="J232" s="8"/>
      <c r="K232" s="8"/>
      <c r="L232" s="8"/>
      <c r="M232" s="8"/>
      <c r="N232" s="8"/>
      <c r="O232" s="8"/>
      <c r="P232" s="8"/>
      <c r="Q232" s="8"/>
      <c r="R232" s="8"/>
      <c r="S232" s="8"/>
      <c r="T232" s="8"/>
      <c r="U232" s="8"/>
      <c r="V232" s="5"/>
      <c r="W232" s="5"/>
      <c r="X232" s="5"/>
      <c r="Y232" s="5"/>
      <c r="Z232" s="5"/>
    </row>
    <row r="233" ht="15.75" customHeight="1">
      <c r="A233" s="8"/>
      <c r="B233" s="8"/>
      <c r="C233" s="8"/>
      <c r="D233" s="8"/>
      <c r="E233" s="8"/>
      <c r="F233" s="8"/>
      <c r="G233" s="8"/>
      <c r="H233" s="8"/>
      <c r="I233" s="8"/>
      <c r="J233" s="8"/>
      <c r="K233" s="8"/>
      <c r="L233" s="8"/>
      <c r="M233" s="8"/>
      <c r="N233" s="8"/>
      <c r="O233" s="8"/>
      <c r="P233" s="8"/>
      <c r="Q233" s="8"/>
      <c r="R233" s="8"/>
      <c r="S233" s="8"/>
      <c r="T233" s="8"/>
      <c r="U233" s="8"/>
      <c r="V233" s="5"/>
      <c r="W233" s="5"/>
      <c r="X233" s="5"/>
      <c r="Y233" s="5"/>
      <c r="Z233" s="5"/>
    </row>
    <row r="234" ht="15.75" customHeight="1">
      <c r="A234" s="8"/>
      <c r="B234" s="8"/>
      <c r="C234" s="8"/>
      <c r="D234" s="8"/>
      <c r="E234" s="8"/>
      <c r="F234" s="8"/>
      <c r="G234" s="8"/>
      <c r="H234" s="8"/>
      <c r="I234" s="8"/>
      <c r="J234" s="8"/>
      <c r="K234" s="8"/>
      <c r="L234" s="8"/>
      <c r="M234" s="8"/>
      <c r="N234" s="8"/>
      <c r="O234" s="8"/>
      <c r="P234" s="8"/>
      <c r="Q234" s="8"/>
      <c r="R234" s="8"/>
      <c r="S234" s="8"/>
      <c r="T234" s="8"/>
      <c r="U234" s="8"/>
      <c r="V234" s="5"/>
      <c r="W234" s="5"/>
      <c r="X234" s="5"/>
      <c r="Y234" s="5"/>
      <c r="Z234" s="5"/>
    </row>
    <row r="235" ht="15.75" customHeight="1">
      <c r="A235" s="8"/>
      <c r="B235" s="8"/>
      <c r="C235" s="8"/>
      <c r="D235" s="8"/>
      <c r="E235" s="8"/>
      <c r="F235" s="8"/>
      <c r="G235" s="8"/>
      <c r="H235" s="8"/>
      <c r="I235" s="8"/>
      <c r="J235" s="8"/>
      <c r="K235" s="8"/>
      <c r="L235" s="8"/>
      <c r="M235" s="8"/>
      <c r="N235" s="8"/>
      <c r="O235" s="8"/>
      <c r="P235" s="8"/>
      <c r="Q235" s="8"/>
      <c r="R235" s="8"/>
      <c r="S235" s="8"/>
      <c r="T235" s="8"/>
      <c r="U235" s="8"/>
      <c r="V235" s="5"/>
      <c r="W235" s="5"/>
      <c r="X235" s="5"/>
      <c r="Y235" s="5"/>
      <c r="Z235" s="5"/>
    </row>
    <row r="236" ht="15.75" customHeight="1">
      <c r="A236" s="8"/>
      <c r="B236" s="8"/>
      <c r="C236" s="8"/>
      <c r="D236" s="8"/>
      <c r="E236" s="8"/>
      <c r="F236" s="8"/>
      <c r="G236" s="8"/>
      <c r="H236" s="8"/>
      <c r="I236" s="8"/>
      <c r="J236" s="8"/>
      <c r="K236" s="8"/>
      <c r="L236" s="8"/>
      <c r="M236" s="8"/>
      <c r="N236" s="8"/>
      <c r="O236" s="8"/>
      <c r="P236" s="8"/>
      <c r="Q236" s="8"/>
      <c r="R236" s="8"/>
      <c r="S236" s="8"/>
      <c r="T236" s="8"/>
      <c r="U236" s="8"/>
      <c r="V236" s="5"/>
      <c r="W236" s="5"/>
      <c r="X236" s="5"/>
      <c r="Y236" s="5"/>
      <c r="Z236" s="5"/>
    </row>
    <row r="237" ht="15.75" customHeight="1">
      <c r="A237" s="8"/>
      <c r="B237" s="8"/>
      <c r="C237" s="8"/>
      <c r="D237" s="8"/>
      <c r="E237" s="8"/>
      <c r="F237" s="8"/>
      <c r="G237" s="8"/>
      <c r="H237" s="8"/>
      <c r="I237" s="8"/>
      <c r="J237" s="8"/>
      <c r="K237" s="8"/>
      <c r="L237" s="8"/>
      <c r="M237" s="8"/>
      <c r="N237" s="8"/>
      <c r="O237" s="8"/>
      <c r="P237" s="8"/>
      <c r="Q237" s="8"/>
      <c r="R237" s="8"/>
      <c r="S237" s="8"/>
      <c r="T237" s="8"/>
      <c r="U237" s="8"/>
      <c r="V237" s="5"/>
      <c r="W237" s="5"/>
      <c r="X237" s="5"/>
      <c r="Y237" s="5"/>
      <c r="Z237" s="5"/>
    </row>
    <row r="238" ht="15.75" customHeight="1">
      <c r="A238" s="8"/>
      <c r="B238" s="8"/>
      <c r="C238" s="8"/>
      <c r="D238" s="8"/>
      <c r="E238" s="8"/>
      <c r="F238" s="8"/>
      <c r="G238" s="8"/>
      <c r="H238" s="8"/>
      <c r="I238" s="8"/>
      <c r="J238" s="8"/>
      <c r="K238" s="8"/>
      <c r="L238" s="8"/>
      <c r="M238" s="8"/>
      <c r="N238" s="8"/>
      <c r="O238" s="8"/>
      <c r="P238" s="8"/>
      <c r="Q238" s="8"/>
      <c r="R238" s="8"/>
      <c r="S238" s="8"/>
      <c r="T238" s="8"/>
      <c r="U238" s="8"/>
      <c r="V238" s="5"/>
      <c r="W238" s="5"/>
      <c r="X238" s="5"/>
      <c r="Y238" s="5"/>
      <c r="Z238" s="5"/>
    </row>
    <row r="239" ht="15.75" customHeight="1">
      <c r="A239" s="8"/>
      <c r="B239" s="8"/>
      <c r="C239" s="8"/>
      <c r="D239" s="8"/>
      <c r="E239" s="8"/>
      <c r="F239" s="8"/>
      <c r="G239" s="8"/>
      <c r="H239" s="8"/>
      <c r="I239" s="8"/>
      <c r="J239" s="8"/>
      <c r="K239" s="8"/>
      <c r="L239" s="8"/>
      <c r="M239" s="8"/>
      <c r="N239" s="8"/>
      <c r="O239" s="8"/>
      <c r="P239" s="8"/>
      <c r="Q239" s="8"/>
      <c r="R239" s="8"/>
      <c r="S239" s="8"/>
      <c r="T239" s="8"/>
      <c r="U239" s="8"/>
      <c r="V239" s="5"/>
      <c r="W239" s="5"/>
      <c r="X239" s="5"/>
      <c r="Y239" s="5"/>
      <c r="Z239" s="5"/>
    </row>
    <row r="240" ht="15.75" customHeight="1">
      <c r="A240" s="8"/>
      <c r="B240" s="8"/>
      <c r="C240" s="8"/>
      <c r="D240" s="8"/>
      <c r="E240" s="8"/>
      <c r="F240" s="8"/>
      <c r="G240" s="8"/>
      <c r="H240" s="8"/>
      <c r="I240" s="8"/>
      <c r="J240" s="8"/>
      <c r="K240" s="8"/>
      <c r="L240" s="8"/>
      <c r="M240" s="8"/>
      <c r="N240" s="8"/>
      <c r="O240" s="8"/>
      <c r="P240" s="8"/>
      <c r="Q240" s="8"/>
      <c r="R240" s="8"/>
      <c r="S240" s="8"/>
      <c r="T240" s="8"/>
      <c r="U240" s="8"/>
      <c r="V240" s="5"/>
      <c r="W240" s="5"/>
      <c r="X240" s="5"/>
      <c r="Y240" s="5"/>
      <c r="Z240" s="5"/>
    </row>
    <row r="241" ht="15.75" customHeight="1">
      <c r="A241" s="8"/>
      <c r="B241" s="8"/>
      <c r="C241" s="8"/>
      <c r="D241" s="8"/>
      <c r="E241" s="8"/>
      <c r="F241" s="8"/>
      <c r="G241" s="8"/>
      <c r="H241" s="8"/>
      <c r="I241" s="8"/>
      <c r="J241" s="8"/>
      <c r="K241" s="8"/>
      <c r="L241" s="8"/>
      <c r="M241" s="8"/>
      <c r="N241" s="8"/>
      <c r="O241" s="8"/>
      <c r="P241" s="8"/>
      <c r="Q241" s="8"/>
      <c r="R241" s="8"/>
      <c r="S241" s="8"/>
      <c r="T241" s="8"/>
      <c r="U241" s="8"/>
      <c r="V241" s="5"/>
      <c r="W241" s="5"/>
      <c r="X241" s="5"/>
      <c r="Y241" s="5"/>
      <c r="Z241" s="5"/>
    </row>
    <row r="242" ht="15.75" customHeight="1">
      <c r="A242" s="8"/>
      <c r="B242" s="8"/>
      <c r="C242" s="8"/>
      <c r="D242" s="8"/>
      <c r="E242" s="8"/>
      <c r="F242" s="8"/>
      <c r="G242" s="8"/>
      <c r="H242" s="8"/>
      <c r="I242" s="8"/>
      <c r="J242" s="8"/>
      <c r="K242" s="8"/>
      <c r="L242" s="8"/>
      <c r="M242" s="8"/>
      <c r="N242" s="8"/>
      <c r="O242" s="8"/>
      <c r="P242" s="8"/>
      <c r="Q242" s="8"/>
      <c r="R242" s="8"/>
      <c r="S242" s="8"/>
      <c r="T242" s="8"/>
      <c r="U242" s="8"/>
      <c r="V242" s="5"/>
      <c r="W242" s="5"/>
      <c r="X242" s="5"/>
      <c r="Y242" s="5"/>
      <c r="Z242" s="5"/>
    </row>
    <row r="243" ht="15.75" customHeight="1">
      <c r="A243" s="8"/>
      <c r="B243" s="8"/>
      <c r="C243" s="8"/>
      <c r="D243" s="8"/>
      <c r="E243" s="8"/>
      <c r="F243" s="8"/>
      <c r="G243" s="8"/>
      <c r="H243" s="8"/>
      <c r="I243" s="8"/>
      <c r="J243" s="8"/>
      <c r="K243" s="8"/>
      <c r="L243" s="8"/>
      <c r="M243" s="8"/>
      <c r="N243" s="8"/>
      <c r="O243" s="8"/>
      <c r="P243" s="8"/>
      <c r="Q243" s="8"/>
      <c r="R243" s="8"/>
      <c r="S243" s="8"/>
      <c r="T243" s="8"/>
      <c r="U243" s="8"/>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4.86"/>
    <col customWidth="1" min="2" max="2" width="34.71"/>
    <col customWidth="1" min="3" max="28" width="14.43"/>
  </cols>
  <sheetData>
    <row r="1">
      <c r="A1" s="13" t="s">
        <v>25</v>
      </c>
      <c r="B1" s="21" t="s">
        <v>26</v>
      </c>
      <c r="C1" s="40"/>
      <c r="D1" s="40"/>
      <c r="E1" s="40"/>
      <c r="F1" s="40"/>
      <c r="G1" s="40"/>
      <c r="H1" s="40"/>
      <c r="I1" s="41"/>
      <c r="J1" s="41"/>
      <c r="K1" s="41"/>
      <c r="L1" s="41"/>
      <c r="M1" s="41"/>
      <c r="N1" s="41"/>
      <c r="O1" s="41"/>
      <c r="P1" s="41"/>
      <c r="Q1" s="41"/>
      <c r="R1" s="41"/>
      <c r="S1" s="41"/>
      <c r="T1" s="41"/>
      <c r="U1" s="41"/>
      <c r="V1" s="41"/>
      <c r="W1" s="41"/>
      <c r="X1" s="41"/>
      <c r="Y1" s="41"/>
      <c r="Z1" s="41"/>
      <c r="AA1" s="41"/>
      <c r="AB1" s="41"/>
    </row>
    <row r="2">
      <c r="A2" s="42" t="s">
        <v>103</v>
      </c>
      <c r="B2" s="43" t="s">
        <v>104</v>
      </c>
      <c r="C2" s="44" t="s">
        <v>29</v>
      </c>
      <c r="D2" s="44" t="s">
        <v>30</v>
      </c>
      <c r="E2" s="44" t="s">
        <v>31</v>
      </c>
      <c r="F2" s="44" t="s">
        <v>32</v>
      </c>
      <c r="G2" s="44" t="s">
        <v>33</v>
      </c>
      <c r="H2" s="44" t="s">
        <v>34</v>
      </c>
      <c r="I2" s="44" t="s">
        <v>35</v>
      </c>
      <c r="J2" s="44" t="s">
        <v>36</v>
      </c>
      <c r="K2" s="44" t="s">
        <v>37</v>
      </c>
      <c r="L2" s="44" t="s">
        <v>38</v>
      </c>
      <c r="M2" s="44" t="s">
        <v>39</v>
      </c>
      <c r="N2" s="44" t="s">
        <v>40</v>
      </c>
      <c r="O2" s="44" t="s">
        <v>41</v>
      </c>
      <c r="P2" s="44" t="s">
        <v>42</v>
      </c>
      <c r="Q2" s="44" t="s">
        <v>43</v>
      </c>
      <c r="R2" s="44" t="s">
        <v>44</v>
      </c>
      <c r="S2" s="44" t="s">
        <v>45</v>
      </c>
      <c r="T2" s="44" t="s">
        <v>46</v>
      </c>
      <c r="U2" s="44" t="s">
        <v>47</v>
      </c>
      <c r="V2" s="41"/>
      <c r="W2" s="41"/>
      <c r="X2" s="41"/>
      <c r="Y2" s="41"/>
      <c r="Z2" s="41"/>
      <c r="AA2" s="41"/>
      <c r="AB2" s="41"/>
    </row>
    <row r="3">
      <c r="A3" s="45" t="s">
        <v>105</v>
      </c>
      <c r="B3" s="46" t="s">
        <v>106</v>
      </c>
      <c r="C3" s="47"/>
      <c r="D3" s="47"/>
      <c r="E3" s="47"/>
      <c r="F3" s="47"/>
      <c r="G3" s="48"/>
      <c r="H3" s="48"/>
      <c r="I3" s="48"/>
      <c r="J3" s="48"/>
      <c r="K3" s="48"/>
      <c r="L3" s="48"/>
      <c r="M3" s="48"/>
      <c r="N3" s="48"/>
      <c r="O3" s="48"/>
      <c r="P3" s="48"/>
      <c r="Q3" s="48"/>
      <c r="R3" s="48"/>
      <c r="S3" s="48"/>
      <c r="T3" s="48"/>
      <c r="U3" s="48"/>
      <c r="V3" s="41"/>
      <c r="W3" s="41"/>
      <c r="X3" s="41"/>
      <c r="Y3" s="41"/>
      <c r="Z3" s="41"/>
      <c r="AA3" s="41"/>
      <c r="AB3" s="41"/>
    </row>
    <row r="4">
      <c r="A4" s="49" t="s">
        <v>107</v>
      </c>
      <c r="B4" s="50" t="s">
        <v>108</v>
      </c>
      <c r="C4" s="51">
        <f t="shared" ref="C4:U4" si="1">C5+C6</f>
        <v>653821</v>
      </c>
      <c r="D4" s="51">
        <f t="shared" si="1"/>
        <v>672848</v>
      </c>
      <c r="E4" s="51">
        <f t="shared" si="1"/>
        <v>712293</v>
      </c>
      <c r="F4" s="51">
        <f t="shared" si="1"/>
        <v>754053</v>
      </c>
      <c r="G4" s="51">
        <f t="shared" si="1"/>
        <v>819459</v>
      </c>
      <c r="H4" s="51">
        <f t="shared" si="1"/>
        <v>830971</v>
      </c>
      <c r="I4" s="51">
        <f t="shared" si="1"/>
        <v>883523</v>
      </c>
      <c r="J4" s="51">
        <f t="shared" si="1"/>
        <v>908332</v>
      </c>
      <c r="K4" s="51">
        <f t="shared" si="1"/>
        <v>957126</v>
      </c>
      <c r="L4" s="51">
        <f t="shared" si="1"/>
        <v>970075</v>
      </c>
      <c r="M4" s="51">
        <f t="shared" si="1"/>
        <v>1020642</v>
      </c>
      <c r="N4" s="51">
        <f t="shared" si="1"/>
        <v>1045495</v>
      </c>
      <c r="O4" s="51">
        <f t="shared" si="1"/>
        <v>1096232</v>
      </c>
      <c r="P4" s="51">
        <f t="shared" si="1"/>
        <v>1136463</v>
      </c>
      <c r="Q4" s="51">
        <f t="shared" si="1"/>
        <v>1179551</v>
      </c>
      <c r="R4" s="51">
        <f t="shared" si="1"/>
        <v>1226711</v>
      </c>
      <c r="S4" s="51">
        <f t="shared" si="1"/>
        <v>1308203</v>
      </c>
      <c r="T4" s="51">
        <f t="shared" si="1"/>
        <v>1326557</v>
      </c>
      <c r="U4" s="51">
        <f t="shared" si="1"/>
        <v>1393406</v>
      </c>
      <c r="V4" s="41"/>
      <c r="W4" s="41"/>
      <c r="X4" s="41"/>
      <c r="Y4" s="41"/>
      <c r="Z4" s="41"/>
      <c r="AA4" s="41"/>
      <c r="AB4" s="41"/>
    </row>
    <row r="5">
      <c r="A5" s="41" t="s">
        <v>109</v>
      </c>
      <c r="B5" s="52" t="s">
        <v>110</v>
      </c>
      <c r="C5" s="53">
        <v>529041.0</v>
      </c>
      <c r="D5" s="53">
        <v>554322.0</v>
      </c>
      <c r="E5" s="53">
        <v>583967.0</v>
      </c>
      <c r="F5" s="53">
        <v>623285.0</v>
      </c>
      <c r="G5" s="53">
        <v>668764.0</v>
      </c>
      <c r="H5" s="53">
        <v>705609.0</v>
      </c>
      <c r="I5" s="53">
        <v>748781.0</v>
      </c>
      <c r="J5" s="53">
        <v>780492.0</v>
      </c>
      <c r="K5" s="53">
        <v>800624.0</v>
      </c>
      <c r="L5" s="53">
        <v>832012.0</v>
      </c>
      <c r="M5" s="53">
        <v>873258.0</v>
      </c>
      <c r="N5" s="53">
        <v>899958.0</v>
      </c>
      <c r="O5" s="53">
        <v>936972.0</v>
      </c>
      <c r="P5" s="53">
        <v>1001235.0</v>
      </c>
      <c r="Q5" s="53">
        <v>1045609.0</v>
      </c>
      <c r="R5" s="53">
        <v>1090015.0</v>
      </c>
      <c r="S5" s="53">
        <v>1160357.0</v>
      </c>
      <c r="T5" s="53">
        <v>1198126.0</v>
      </c>
      <c r="U5" s="53">
        <v>1266752.0</v>
      </c>
      <c r="V5" s="41"/>
      <c r="W5" s="41"/>
      <c r="X5" s="41"/>
      <c r="Y5" s="41"/>
      <c r="Z5" s="41"/>
      <c r="AA5" s="41"/>
      <c r="AB5" s="41"/>
    </row>
    <row r="6">
      <c r="A6" s="41" t="s">
        <v>111</v>
      </c>
      <c r="B6" s="52" t="s">
        <v>112</v>
      </c>
      <c r="C6" s="53">
        <f t="shared" ref="C6:U6" si="2">C7+C8</f>
        <v>124780</v>
      </c>
      <c r="D6" s="53">
        <f t="shared" si="2"/>
        <v>118526</v>
      </c>
      <c r="E6" s="53">
        <f t="shared" si="2"/>
        <v>128326</v>
      </c>
      <c r="F6" s="53">
        <f t="shared" si="2"/>
        <v>130768</v>
      </c>
      <c r="G6" s="53">
        <f t="shared" si="2"/>
        <v>150695</v>
      </c>
      <c r="H6" s="53">
        <f t="shared" si="2"/>
        <v>125362</v>
      </c>
      <c r="I6" s="53">
        <f t="shared" si="2"/>
        <v>134742</v>
      </c>
      <c r="J6" s="53">
        <f t="shared" si="2"/>
        <v>127840</v>
      </c>
      <c r="K6" s="53">
        <f t="shared" si="2"/>
        <v>156502</v>
      </c>
      <c r="L6" s="53">
        <f t="shared" si="2"/>
        <v>138063</v>
      </c>
      <c r="M6" s="53">
        <f t="shared" si="2"/>
        <v>147384</v>
      </c>
      <c r="N6" s="53">
        <f t="shared" si="2"/>
        <v>145537</v>
      </c>
      <c r="O6" s="53">
        <f t="shared" si="2"/>
        <v>159260</v>
      </c>
      <c r="P6" s="53">
        <f t="shared" si="2"/>
        <v>135228</v>
      </c>
      <c r="Q6" s="53">
        <f t="shared" si="2"/>
        <v>133942</v>
      </c>
      <c r="R6" s="53">
        <f t="shared" si="2"/>
        <v>136696</v>
      </c>
      <c r="S6" s="53">
        <f t="shared" si="2"/>
        <v>147846</v>
      </c>
      <c r="T6" s="53">
        <f t="shared" si="2"/>
        <v>128431</v>
      </c>
      <c r="U6" s="53">
        <f t="shared" si="2"/>
        <v>126654</v>
      </c>
      <c r="V6" s="41"/>
      <c r="W6" s="41"/>
      <c r="X6" s="41"/>
      <c r="Y6" s="41"/>
      <c r="Z6" s="41"/>
      <c r="AA6" s="41"/>
      <c r="AB6" s="41"/>
    </row>
    <row r="7">
      <c r="A7" s="41" t="s">
        <v>113</v>
      </c>
      <c r="B7" s="52" t="s">
        <v>114</v>
      </c>
      <c r="C7" s="53">
        <v>58068.0</v>
      </c>
      <c r="D7" s="53">
        <v>45732.0</v>
      </c>
      <c r="E7" s="53">
        <v>50784.0</v>
      </c>
      <c r="F7" s="53">
        <v>53769.0</v>
      </c>
      <c r="G7" s="53">
        <v>79385.0</v>
      </c>
      <c r="H7" s="53">
        <v>44210.0</v>
      </c>
      <c r="I7" s="53">
        <v>51401.0</v>
      </c>
      <c r="J7" s="53">
        <v>49367.0</v>
      </c>
      <c r="K7" s="53">
        <v>80409.0</v>
      </c>
      <c r="L7" s="53">
        <v>48627.0</v>
      </c>
      <c r="M7" s="53">
        <v>52576.0</v>
      </c>
      <c r="N7" s="53">
        <v>58168.0</v>
      </c>
      <c r="O7" s="53">
        <v>76869.0</v>
      </c>
      <c r="P7" s="53">
        <v>46755.0</v>
      </c>
      <c r="Q7" s="53">
        <v>48932.0</v>
      </c>
      <c r="R7" s="53">
        <v>46307.0</v>
      </c>
      <c r="S7" s="53">
        <v>67655.0</v>
      </c>
      <c r="T7" s="53">
        <v>42415.0</v>
      </c>
      <c r="U7" s="53">
        <v>40646.0</v>
      </c>
      <c r="V7" s="41"/>
      <c r="W7" s="41"/>
      <c r="X7" s="41"/>
      <c r="Y7" s="41"/>
      <c r="Z7" s="41"/>
      <c r="AA7" s="41"/>
      <c r="AB7" s="41"/>
    </row>
    <row r="8">
      <c r="A8" s="41" t="s">
        <v>115</v>
      </c>
      <c r="B8" s="52" t="s">
        <v>116</v>
      </c>
      <c r="C8" s="53">
        <v>66712.0</v>
      </c>
      <c r="D8" s="53">
        <v>72794.0</v>
      </c>
      <c r="E8" s="53">
        <v>77542.0</v>
      </c>
      <c r="F8" s="53">
        <v>76999.0</v>
      </c>
      <c r="G8" s="53">
        <v>71310.0</v>
      </c>
      <c r="H8" s="53">
        <v>81152.0</v>
      </c>
      <c r="I8" s="53">
        <v>83341.0</v>
      </c>
      <c r="J8" s="53">
        <v>78473.0</v>
      </c>
      <c r="K8" s="53">
        <v>76093.0</v>
      </c>
      <c r="L8" s="53">
        <v>89436.0</v>
      </c>
      <c r="M8" s="53">
        <v>94808.0</v>
      </c>
      <c r="N8" s="53">
        <v>87369.0</v>
      </c>
      <c r="O8" s="53">
        <v>82391.0</v>
      </c>
      <c r="P8" s="53">
        <v>88473.0</v>
      </c>
      <c r="Q8" s="53">
        <v>85010.0</v>
      </c>
      <c r="R8" s="53">
        <v>90389.0</v>
      </c>
      <c r="S8" s="53">
        <v>80191.0</v>
      </c>
      <c r="T8" s="53">
        <v>86016.0</v>
      </c>
      <c r="U8" s="53">
        <v>86008.0</v>
      </c>
      <c r="V8" s="41"/>
      <c r="W8" s="41"/>
      <c r="X8" s="41"/>
      <c r="Y8" s="41"/>
      <c r="Z8" s="41"/>
      <c r="AA8" s="41"/>
      <c r="AB8" s="41"/>
    </row>
    <row r="9">
      <c r="A9" s="41" t="s">
        <v>117</v>
      </c>
      <c r="B9" s="52" t="s">
        <v>118</v>
      </c>
      <c r="C9" s="53">
        <v>-175325.0</v>
      </c>
      <c r="D9" s="53">
        <v>-186925.0</v>
      </c>
      <c r="E9" s="53">
        <v>-195804.0</v>
      </c>
      <c r="F9" s="53">
        <v>-210201.0</v>
      </c>
      <c r="G9" s="53">
        <v>-220630.0</v>
      </c>
      <c r="H9" s="53">
        <v>-229686.0</v>
      </c>
      <c r="I9" s="53">
        <v>-245051.0</v>
      </c>
      <c r="J9" s="53">
        <v>-251675.0</v>
      </c>
      <c r="K9" s="53">
        <v>-251965.0</v>
      </c>
      <c r="L9" s="53">
        <v>-254841.0</v>
      </c>
      <c r="M9" s="53">
        <v>-281975.0</v>
      </c>
      <c r="N9" s="53">
        <v>-292296.0</v>
      </c>
      <c r="O9" s="53">
        <v>-301244.0</v>
      </c>
      <c r="P9" s="53">
        <v>-323690.0</v>
      </c>
      <c r="Q9" s="53">
        <v>-337260.0</v>
      </c>
      <c r="R9" s="53">
        <v>-348424.33</v>
      </c>
      <c r="S9" s="53">
        <v>-358097.0</v>
      </c>
      <c r="T9" s="53">
        <v>-375913.0</v>
      </c>
      <c r="U9" s="53">
        <v>-379155.0</v>
      </c>
      <c r="V9" s="41"/>
      <c r="W9" s="41"/>
      <c r="X9" s="41"/>
      <c r="Y9" s="41"/>
      <c r="Z9" s="41"/>
      <c r="AA9" s="41"/>
      <c r="AB9" s="41"/>
    </row>
    <row r="10">
      <c r="A10" s="49" t="s">
        <v>119</v>
      </c>
      <c r="B10" s="50" t="s">
        <v>120</v>
      </c>
      <c r="C10" s="51">
        <f t="shared" ref="C10:U10" si="3">C9+C4</f>
        <v>478496</v>
      </c>
      <c r="D10" s="51">
        <f t="shared" si="3"/>
        <v>485923</v>
      </c>
      <c r="E10" s="51">
        <f t="shared" si="3"/>
        <v>516489</v>
      </c>
      <c r="F10" s="51">
        <f t="shared" si="3"/>
        <v>543852</v>
      </c>
      <c r="G10" s="51">
        <f t="shared" si="3"/>
        <v>598829</v>
      </c>
      <c r="H10" s="51">
        <f t="shared" si="3"/>
        <v>601285</v>
      </c>
      <c r="I10" s="51">
        <f t="shared" si="3"/>
        <v>638472</v>
      </c>
      <c r="J10" s="51">
        <f t="shared" si="3"/>
        <v>656657</v>
      </c>
      <c r="K10" s="51">
        <f t="shared" si="3"/>
        <v>705161</v>
      </c>
      <c r="L10" s="51">
        <f t="shared" si="3"/>
        <v>715234</v>
      </c>
      <c r="M10" s="51">
        <f t="shared" si="3"/>
        <v>738667</v>
      </c>
      <c r="N10" s="51">
        <f t="shared" si="3"/>
        <v>753199</v>
      </c>
      <c r="O10" s="51">
        <f t="shared" si="3"/>
        <v>794988</v>
      </c>
      <c r="P10" s="51">
        <f t="shared" si="3"/>
        <v>812773</v>
      </c>
      <c r="Q10" s="51">
        <f t="shared" si="3"/>
        <v>842291</v>
      </c>
      <c r="R10" s="51">
        <f t="shared" si="3"/>
        <v>878286.67</v>
      </c>
      <c r="S10" s="51">
        <f t="shared" si="3"/>
        <v>950106</v>
      </c>
      <c r="T10" s="51">
        <f t="shared" si="3"/>
        <v>950644</v>
      </c>
      <c r="U10" s="51">
        <f t="shared" si="3"/>
        <v>1014251</v>
      </c>
      <c r="V10" s="41"/>
      <c r="W10" s="41"/>
      <c r="X10" s="41"/>
      <c r="Y10" s="41"/>
      <c r="Z10" s="41"/>
      <c r="AA10" s="41"/>
      <c r="AB10" s="41"/>
    </row>
    <row r="11">
      <c r="A11" s="54" t="s">
        <v>121</v>
      </c>
      <c r="B11" s="54" t="s">
        <v>122</v>
      </c>
      <c r="C11" s="55">
        <f t="shared" ref="C11:U11" si="4">C10/C4</f>
        <v>0.7318455663</v>
      </c>
      <c r="D11" s="55">
        <f t="shared" si="4"/>
        <v>0.7221883694</v>
      </c>
      <c r="E11" s="55">
        <f t="shared" si="4"/>
        <v>0.7251075049</v>
      </c>
      <c r="F11" s="55">
        <f t="shared" si="4"/>
        <v>0.7212384275</v>
      </c>
      <c r="G11" s="55">
        <f t="shared" si="4"/>
        <v>0.7307613926</v>
      </c>
      <c r="H11" s="55">
        <f t="shared" si="4"/>
        <v>0.7235932421</v>
      </c>
      <c r="I11" s="55">
        <f t="shared" si="4"/>
        <v>0.7226433268</v>
      </c>
      <c r="J11" s="55">
        <f t="shared" si="4"/>
        <v>0.7229261988</v>
      </c>
      <c r="K11" s="55">
        <f t="shared" si="4"/>
        <v>0.7367483487</v>
      </c>
      <c r="L11" s="55">
        <f t="shared" si="4"/>
        <v>0.7372976316</v>
      </c>
      <c r="M11" s="55">
        <f t="shared" si="4"/>
        <v>0.7237278105</v>
      </c>
      <c r="N11" s="55">
        <f t="shared" si="4"/>
        <v>0.7204233401</v>
      </c>
      <c r="O11" s="55">
        <f t="shared" si="4"/>
        <v>0.725200505</v>
      </c>
      <c r="P11" s="55">
        <f t="shared" si="4"/>
        <v>0.7151777049</v>
      </c>
      <c r="Q11" s="55">
        <f t="shared" si="4"/>
        <v>0.7140776448</v>
      </c>
      <c r="R11" s="55">
        <f t="shared" si="4"/>
        <v>0.7159686919</v>
      </c>
      <c r="S11" s="55">
        <f t="shared" si="4"/>
        <v>0.726268018</v>
      </c>
      <c r="T11" s="55">
        <f t="shared" si="4"/>
        <v>0.7166250678</v>
      </c>
      <c r="U11" s="55">
        <f t="shared" si="4"/>
        <v>0.7278933778</v>
      </c>
      <c r="V11" s="41"/>
      <c r="W11" s="41"/>
      <c r="X11" s="41"/>
      <c r="Y11" s="41"/>
      <c r="Z11" s="41"/>
      <c r="AA11" s="41"/>
      <c r="AB11" s="41"/>
    </row>
    <row r="12">
      <c r="A12" s="41" t="s">
        <v>123</v>
      </c>
      <c r="B12" s="52" t="s">
        <v>124</v>
      </c>
      <c r="C12" s="53">
        <v>-113064.0</v>
      </c>
      <c r="D12" s="53">
        <v>-119466.0</v>
      </c>
      <c r="E12" s="53">
        <v>-123470.0</v>
      </c>
      <c r="F12" s="53">
        <v>-135390.0</v>
      </c>
      <c r="G12" s="53">
        <v>-140915.0</v>
      </c>
      <c r="H12" s="53">
        <v>-145620.0</v>
      </c>
      <c r="I12" s="53">
        <v>-152136.0</v>
      </c>
      <c r="J12" s="53">
        <v>-163174.0</v>
      </c>
      <c r="K12" s="53">
        <v>-167399.0</v>
      </c>
      <c r="L12" s="53">
        <v>-168205.0</v>
      </c>
      <c r="M12" s="53">
        <v>-169404.0</v>
      </c>
      <c r="N12" s="53">
        <v>-182290.0</v>
      </c>
      <c r="O12" s="53">
        <v>-183854.0</v>
      </c>
      <c r="P12" s="53">
        <v>-187569.0</v>
      </c>
      <c r="Q12" s="53">
        <v>-195148.0</v>
      </c>
      <c r="R12" s="53">
        <v>-201698.0</v>
      </c>
      <c r="S12" s="53">
        <v>-207458.0</v>
      </c>
      <c r="T12" s="53">
        <v>-222278.0</v>
      </c>
      <c r="U12" s="53">
        <v>-234667.0</v>
      </c>
      <c r="V12" s="41"/>
      <c r="W12" s="41"/>
      <c r="X12" s="41"/>
      <c r="Y12" s="41"/>
      <c r="Z12" s="41"/>
      <c r="AA12" s="41"/>
      <c r="AB12" s="41"/>
    </row>
    <row r="13">
      <c r="A13" s="41" t="s">
        <v>125</v>
      </c>
      <c r="B13" s="52" t="s">
        <v>95</v>
      </c>
      <c r="C13" s="53">
        <v>-4995.0</v>
      </c>
      <c r="D13" s="53">
        <v>-4622.0</v>
      </c>
      <c r="E13" s="53">
        <v>-6597.0</v>
      </c>
      <c r="F13" s="53">
        <v>-2418.0</v>
      </c>
      <c r="G13" s="53">
        <v>-6573.0</v>
      </c>
      <c r="H13" s="53">
        <v>-4708.0</v>
      </c>
      <c r="I13" s="53">
        <v>-7095.0</v>
      </c>
      <c r="J13" s="53">
        <v>-3628.0</v>
      </c>
      <c r="K13" s="53">
        <v>-5990.0</v>
      </c>
      <c r="L13" s="53">
        <v>-8441.0</v>
      </c>
      <c r="M13" s="53">
        <v>-7693.0</v>
      </c>
      <c r="N13" s="53">
        <v>-6174.0</v>
      </c>
      <c r="O13" s="53">
        <v>-10176.0</v>
      </c>
      <c r="P13" s="53">
        <v>-12165.0</v>
      </c>
      <c r="Q13" s="53">
        <v>-9114.0</v>
      </c>
      <c r="R13" s="53">
        <v>-13385.0</v>
      </c>
      <c r="S13" s="53">
        <v>-13649.0</v>
      </c>
      <c r="T13" s="53">
        <v>-11299.0</v>
      </c>
      <c r="U13" s="53">
        <v>-11825.0</v>
      </c>
      <c r="V13" s="41"/>
      <c r="W13" s="41"/>
      <c r="X13" s="41"/>
      <c r="Y13" s="41"/>
      <c r="Z13" s="41"/>
      <c r="AA13" s="41"/>
      <c r="AB13" s="41"/>
    </row>
    <row r="14">
      <c r="A14" s="41" t="s">
        <v>126</v>
      </c>
      <c r="B14" s="52" t="s">
        <v>127</v>
      </c>
      <c r="C14" s="53">
        <v>-121690.0</v>
      </c>
      <c r="D14" s="53">
        <v>-124685.0</v>
      </c>
      <c r="E14" s="53">
        <v>-137011.0</v>
      </c>
      <c r="F14" s="53">
        <v>-139253.0</v>
      </c>
      <c r="G14" s="53">
        <v>-155199.0</v>
      </c>
      <c r="H14" s="53">
        <v>-159047.0</v>
      </c>
      <c r="I14" s="53">
        <v>-163866.0</v>
      </c>
      <c r="J14" s="53">
        <v>-167254.0</v>
      </c>
      <c r="K14" s="53">
        <v>-184294.0</v>
      </c>
      <c r="L14" s="53">
        <v>-201382.0</v>
      </c>
      <c r="M14" s="53">
        <v>-202688.0</v>
      </c>
      <c r="N14" s="53">
        <v>-217888.0</v>
      </c>
      <c r="O14" s="53">
        <v>-218647.0</v>
      </c>
      <c r="P14" s="53">
        <v>-228213.0</v>
      </c>
      <c r="Q14" s="53">
        <v>-230469.0</v>
      </c>
      <c r="R14" s="53">
        <v>-239723.0</v>
      </c>
      <c r="S14" s="53">
        <v>-258545.0</v>
      </c>
      <c r="T14" s="53">
        <v>-273648.0</v>
      </c>
      <c r="U14" s="53">
        <v>-267582.0</v>
      </c>
      <c r="V14" s="41"/>
      <c r="W14" s="41"/>
      <c r="X14" s="41"/>
      <c r="Y14" s="41"/>
      <c r="Z14" s="41"/>
      <c r="AA14" s="41"/>
      <c r="AB14" s="41"/>
    </row>
    <row r="15">
      <c r="A15" s="41" t="s">
        <v>128</v>
      </c>
      <c r="B15" s="52" t="s">
        <v>129</v>
      </c>
      <c r="C15" s="53">
        <v>-53998.0</v>
      </c>
      <c r="D15" s="53">
        <v>-58031.0</v>
      </c>
      <c r="E15" s="53">
        <v>-57967.0</v>
      </c>
      <c r="F15" s="53">
        <v>-58674.0</v>
      </c>
      <c r="G15" s="53">
        <v>-67608.0</v>
      </c>
      <c r="H15" s="53">
        <v>-73008.0</v>
      </c>
      <c r="I15" s="53">
        <v>-75490.0</v>
      </c>
      <c r="J15" s="53">
        <v>-85344.0</v>
      </c>
      <c r="K15" s="53">
        <v>-76507.0</v>
      </c>
      <c r="L15" s="53">
        <v>-76941.0</v>
      </c>
      <c r="M15" s="53">
        <v>-80928.0</v>
      </c>
      <c r="N15" s="53">
        <v>-86166.0</v>
      </c>
      <c r="O15" s="53">
        <v>-88176.0</v>
      </c>
      <c r="P15" s="53">
        <v>-96065.0</v>
      </c>
      <c r="Q15" s="53">
        <v>-93399.0</v>
      </c>
      <c r="R15" s="53">
        <v>-99076.0</v>
      </c>
      <c r="S15" s="53">
        <v>-97727.0</v>
      </c>
      <c r="T15" s="53">
        <v>-98881.0</v>
      </c>
      <c r="U15" s="53">
        <v>-110485.0</v>
      </c>
      <c r="V15" s="41"/>
      <c r="W15" s="41"/>
      <c r="X15" s="41"/>
      <c r="Y15" s="41"/>
      <c r="Z15" s="41"/>
      <c r="AA15" s="41"/>
      <c r="AB15" s="41"/>
    </row>
    <row r="16">
      <c r="A16" s="41" t="s">
        <v>130</v>
      </c>
      <c r="B16" s="52" t="s">
        <v>131</v>
      </c>
      <c r="C16" s="53">
        <v>-9086.0</v>
      </c>
      <c r="D16" s="53">
        <v>-4803.0</v>
      </c>
      <c r="E16" s="53">
        <v>-10615.0</v>
      </c>
      <c r="F16" s="53">
        <v>-7330.0</v>
      </c>
      <c r="G16" s="53">
        <v>-10936.0</v>
      </c>
      <c r="H16" s="53">
        <v>-2650.0</v>
      </c>
      <c r="I16" s="53">
        <v>-5497.0</v>
      </c>
      <c r="J16" s="53">
        <v>-12870.0</v>
      </c>
      <c r="K16" s="53">
        <v>-175.0</v>
      </c>
      <c r="L16" s="53">
        <v>-7118.0</v>
      </c>
      <c r="M16" s="53">
        <v>-3479.0</v>
      </c>
      <c r="N16" s="53">
        <v>-9286.0</v>
      </c>
      <c r="O16" s="53">
        <v>-244.0</v>
      </c>
      <c r="P16" s="53">
        <v>-5799.0</v>
      </c>
      <c r="Q16" s="53">
        <v>-4535.0</v>
      </c>
      <c r="R16" s="53">
        <v>-9864.0</v>
      </c>
      <c r="S16" s="53">
        <v>-13461.0</v>
      </c>
      <c r="T16" s="53">
        <v>-2091.0</v>
      </c>
      <c r="U16" s="53">
        <v>-8670.0</v>
      </c>
      <c r="V16" s="41"/>
      <c r="W16" s="41"/>
      <c r="X16" s="41"/>
      <c r="Y16" s="41"/>
      <c r="Z16" s="41"/>
      <c r="AA16" s="41"/>
      <c r="AB16" s="41"/>
    </row>
    <row r="17">
      <c r="A17" s="41" t="s">
        <v>132</v>
      </c>
      <c r="B17" s="52" t="s">
        <v>133</v>
      </c>
      <c r="C17" s="53">
        <v>1381.0</v>
      </c>
      <c r="D17" s="53">
        <v>582.0</v>
      </c>
      <c r="E17" s="53">
        <v>2862.0</v>
      </c>
      <c r="F17" s="53">
        <v>1641.0</v>
      </c>
      <c r="G17" s="53">
        <v>-434.0</v>
      </c>
      <c r="H17" s="53">
        <v>983.0</v>
      </c>
      <c r="I17" s="53">
        <v>865.0</v>
      </c>
      <c r="J17" s="53">
        <v>3214.0</v>
      </c>
      <c r="K17" s="53">
        <v>1168.0</v>
      </c>
      <c r="L17" s="53">
        <v>1103.0</v>
      </c>
      <c r="M17" s="53">
        <v>1304.0</v>
      </c>
      <c r="N17" s="53">
        <v>3579.0</v>
      </c>
      <c r="O17" s="53">
        <v>2539.0</v>
      </c>
      <c r="P17" s="53">
        <v>4258.0</v>
      </c>
      <c r="Q17" s="53">
        <v>2791.0</v>
      </c>
      <c r="R17" s="53">
        <v>6553.0</v>
      </c>
      <c r="S17" s="53">
        <v>1655.0</v>
      </c>
      <c r="T17" s="53">
        <v>2156.0</v>
      </c>
      <c r="U17" s="53">
        <v>3460.0</v>
      </c>
      <c r="V17" s="41"/>
      <c r="W17" s="41"/>
      <c r="X17" s="41"/>
      <c r="Y17" s="41"/>
      <c r="Z17" s="41"/>
      <c r="AA17" s="41"/>
      <c r="AB17" s="41"/>
    </row>
    <row r="18">
      <c r="A18" s="49" t="s">
        <v>134</v>
      </c>
      <c r="B18" s="50" t="s">
        <v>135</v>
      </c>
      <c r="C18" s="51">
        <f t="shared" ref="C18:U18" si="5">C10+SUM(C12:C13,C14:C17)</f>
        <v>177044</v>
      </c>
      <c r="D18" s="51">
        <f t="shared" si="5"/>
        <v>174898</v>
      </c>
      <c r="E18" s="51">
        <f t="shared" si="5"/>
        <v>183691</v>
      </c>
      <c r="F18" s="51">
        <f t="shared" si="5"/>
        <v>202428</v>
      </c>
      <c r="G18" s="51">
        <f t="shared" si="5"/>
        <v>217164</v>
      </c>
      <c r="H18" s="51">
        <f t="shared" si="5"/>
        <v>217235</v>
      </c>
      <c r="I18" s="51">
        <f t="shared" si="5"/>
        <v>235253</v>
      </c>
      <c r="J18" s="51">
        <f t="shared" si="5"/>
        <v>227601</v>
      </c>
      <c r="K18" s="51">
        <f t="shared" si="5"/>
        <v>271964</v>
      </c>
      <c r="L18" s="51">
        <f t="shared" si="5"/>
        <v>254250</v>
      </c>
      <c r="M18" s="51">
        <f t="shared" si="5"/>
        <v>275779</v>
      </c>
      <c r="N18" s="51">
        <f t="shared" si="5"/>
        <v>254974</v>
      </c>
      <c r="O18" s="51">
        <f t="shared" si="5"/>
        <v>296430</v>
      </c>
      <c r="P18" s="51">
        <f t="shared" si="5"/>
        <v>287220</v>
      </c>
      <c r="Q18" s="51">
        <f t="shared" si="5"/>
        <v>312417</v>
      </c>
      <c r="R18" s="51">
        <f t="shared" si="5"/>
        <v>321093.67</v>
      </c>
      <c r="S18" s="51">
        <f t="shared" si="5"/>
        <v>360921</v>
      </c>
      <c r="T18" s="51">
        <f t="shared" si="5"/>
        <v>344603</v>
      </c>
      <c r="U18" s="51">
        <f t="shared" si="5"/>
        <v>384482</v>
      </c>
      <c r="V18" s="41"/>
      <c r="W18" s="41"/>
      <c r="X18" s="41"/>
      <c r="Y18" s="41"/>
      <c r="Z18" s="41"/>
      <c r="AA18" s="41"/>
      <c r="AB18" s="41"/>
    </row>
    <row r="19">
      <c r="A19" s="54" t="s">
        <v>136</v>
      </c>
      <c r="B19" s="54" t="s">
        <v>137</v>
      </c>
      <c r="C19" s="55">
        <f t="shared" ref="C19:U19" si="6">C18/C$4</f>
        <v>0.2707835937</v>
      </c>
      <c r="D19" s="55">
        <f t="shared" si="6"/>
        <v>0.2599368654</v>
      </c>
      <c r="E19" s="55">
        <f t="shared" si="6"/>
        <v>0.2578868527</v>
      </c>
      <c r="F19" s="55">
        <f t="shared" si="6"/>
        <v>0.2684532785</v>
      </c>
      <c r="G19" s="55">
        <f t="shared" si="6"/>
        <v>0.2650089876</v>
      </c>
      <c r="H19" s="55">
        <f t="shared" si="6"/>
        <v>0.2614230822</v>
      </c>
      <c r="I19" s="55">
        <f t="shared" si="6"/>
        <v>0.2662669789</v>
      </c>
      <c r="J19" s="55">
        <f t="shared" si="6"/>
        <v>0.2505702761</v>
      </c>
      <c r="K19" s="55">
        <f t="shared" si="6"/>
        <v>0.2841464969</v>
      </c>
      <c r="L19" s="55">
        <f t="shared" si="6"/>
        <v>0.2620931371</v>
      </c>
      <c r="M19" s="55">
        <f t="shared" si="6"/>
        <v>0.2702015006</v>
      </c>
      <c r="N19" s="55">
        <f t="shared" si="6"/>
        <v>0.2438787369</v>
      </c>
      <c r="O19" s="55">
        <f t="shared" si="6"/>
        <v>0.2704080888</v>
      </c>
      <c r="P19" s="55">
        <f t="shared" si="6"/>
        <v>0.2527315012</v>
      </c>
      <c r="Q19" s="55">
        <f t="shared" si="6"/>
        <v>0.2648609513</v>
      </c>
      <c r="R19" s="55">
        <f t="shared" si="6"/>
        <v>0.261751684</v>
      </c>
      <c r="S19" s="55">
        <f t="shared" si="6"/>
        <v>0.2758906683</v>
      </c>
      <c r="T19" s="55">
        <f t="shared" si="6"/>
        <v>0.2597724787</v>
      </c>
      <c r="U19" s="55">
        <f t="shared" si="6"/>
        <v>0.2759296286</v>
      </c>
      <c r="V19" s="41"/>
      <c r="W19" s="41"/>
      <c r="X19" s="41"/>
      <c r="Y19" s="41"/>
      <c r="Z19" s="41"/>
      <c r="AA19" s="41"/>
      <c r="AB19" s="41"/>
    </row>
    <row r="20">
      <c r="A20" s="56" t="s">
        <v>138</v>
      </c>
      <c r="B20" s="57" t="s">
        <v>139</v>
      </c>
      <c r="C20" s="58">
        <f t="shared" ref="C20:U20" si="7">SUM(C21:C29)</f>
        <v>-1972</v>
      </c>
      <c r="D20" s="58">
        <f t="shared" si="7"/>
        <v>3738</v>
      </c>
      <c r="E20" s="58">
        <f t="shared" si="7"/>
        <v>-1447</v>
      </c>
      <c r="F20" s="58">
        <f t="shared" si="7"/>
        <v>-8643</v>
      </c>
      <c r="G20" s="58">
        <f t="shared" si="7"/>
        <v>-28178</v>
      </c>
      <c r="H20" s="58">
        <f t="shared" si="7"/>
        <v>13788</v>
      </c>
      <c r="I20" s="58">
        <f t="shared" si="7"/>
        <v>-5278</v>
      </c>
      <c r="J20" s="58">
        <f t="shared" si="7"/>
        <v>-10145</v>
      </c>
      <c r="K20" s="58">
        <f t="shared" si="7"/>
        <v>-5565</v>
      </c>
      <c r="L20" s="58">
        <f t="shared" si="7"/>
        <v>-14638</v>
      </c>
      <c r="M20" s="58">
        <f t="shared" si="7"/>
        <v>-9568</v>
      </c>
      <c r="N20" s="58">
        <f t="shared" si="7"/>
        <v>-6176</v>
      </c>
      <c r="O20" s="58">
        <f t="shared" si="7"/>
        <v>-15169</v>
      </c>
      <c r="P20" s="58">
        <f t="shared" si="7"/>
        <v>-5546</v>
      </c>
      <c r="Q20" s="58">
        <f t="shared" si="7"/>
        <v>5949</v>
      </c>
      <c r="R20" s="58">
        <f t="shared" si="7"/>
        <v>-20535.67</v>
      </c>
      <c r="S20" s="58">
        <f t="shared" si="7"/>
        <v>-18352</v>
      </c>
      <c r="T20" s="58">
        <f t="shared" si="7"/>
        <v>-3168</v>
      </c>
      <c r="U20" s="58">
        <f t="shared" si="7"/>
        <v>-6188</v>
      </c>
      <c r="V20" s="41"/>
      <c r="W20" s="41"/>
      <c r="X20" s="41"/>
      <c r="Y20" s="41"/>
      <c r="Z20" s="41"/>
      <c r="AA20" s="41"/>
      <c r="AB20" s="41"/>
    </row>
    <row r="21" ht="15.75" customHeight="1">
      <c r="A21" s="41" t="s">
        <v>140</v>
      </c>
      <c r="B21" s="52" t="s">
        <v>141</v>
      </c>
      <c r="C21" s="53">
        <v>0.0</v>
      </c>
      <c r="D21" s="53">
        <v>0.0</v>
      </c>
      <c r="E21" s="53">
        <v>0.0</v>
      </c>
      <c r="F21" s="53">
        <v>0.0</v>
      </c>
      <c r="G21" s="53">
        <v>0.0</v>
      </c>
      <c r="H21" s="53">
        <v>0.0</v>
      </c>
      <c r="I21" s="53">
        <v>0.0</v>
      </c>
      <c r="J21" s="53">
        <v>0.0</v>
      </c>
      <c r="K21" s="53">
        <v>0.0</v>
      </c>
      <c r="L21" s="53">
        <v>0.0</v>
      </c>
      <c r="M21" s="53">
        <v>0.0</v>
      </c>
      <c r="N21" s="53">
        <v>0.0</v>
      </c>
      <c r="O21" s="53">
        <v>0.0</v>
      </c>
      <c r="P21" s="53">
        <v>0.0</v>
      </c>
      <c r="Q21" s="53">
        <v>0.0</v>
      </c>
      <c r="R21" s="53">
        <v>0.0</v>
      </c>
      <c r="S21" s="53">
        <v>0.0</v>
      </c>
      <c r="T21" s="53">
        <v>0.0</v>
      </c>
      <c r="U21" s="53">
        <v>0.0</v>
      </c>
      <c r="V21" s="41"/>
      <c r="W21" s="41"/>
      <c r="X21" s="41"/>
      <c r="Y21" s="41"/>
      <c r="Z21" s="41"/>
      <c r="AA21" s="41"/>
      <c r="AB21" s="41"/>
    </row>
    <row r="22" ht="15.75" customHeight="1">
      <c r="A22" s="41" t="s">
        <v>142</v>
      </c>
      <c r="B22" s="52" t="s">
        <v>143</v>
      </c>
      <c r="C22" s="53">
        <v>0.0</v>
      </c>
      <c r="D22" s="53">
        <v>0.0</v>
      </c>
      <c r="E22" s="53">
        <v>0.0</v>
      </c>
      <c r="F22" s="53">
        <v>0.0</v>
      </c>
      <c r="G22" s="53">
        <v>0.0</v>
      </c>
      <c r="H22" s="53">
        <v>0.0</v>
      </c>
      <c r="I22" s="53">
        <v>0.0</v>
      </c>
      <c r="J22" s="53">
        <v>0.0</v>
      </c>
      <c r="K22" s="53">
        <v>0.0</v>
      </c>
      <c r="L22" s="53">
        <v>0.0</v>
      </c>
      <c r="M22" s="53">
        <v>0.0</v>
      </c>
      <c r="N22" s="53">
        <v>0.0</v>
      </c>
      <c r="O22" s="53">
        <v>0.0</v>
      </c>
      <c r="P22" s="53">
        <v>0.0</v>
      </c>
      <c r="Q22" s="53">
        <v>0.0</v>
      </c>
      <c r="R22" s="53">
        <v>0.0</v>
      </c>
      <c r="S22" s="53">
        <v>0.0</v>
      </c>
      <c r="T22" s="53">
        <v>0.0</v>
      </c>
      <c r="U22" s="53">
        <v>0.0</v>
      </c>
      <c r="V22" s="41"/>
      <c r="W22" s="41"/>
      <c r="X22" s="41"/>
      <c r="Y22" s="41"/>
      <c r="Z22" s="41"/>
      <c r="AA22" s="41"/>
      <c r="AB22" s="41"/>
    </row>
    <row r="23" ht="15.75" customHeight="1">
      <c r="A23" s="41" t="s">
        <v>144</v>
      </c>
      <c r="B23" s="52" t="s">
        <v>145</v>
      </c>
      <c r="C23" s="53">
        <v>0.0</v>
      </c>
      <c r="D23" s="53">
        <v>0.0</v>
      </c>
      <c r="E23" s="53">
        <v>0.0</v>
      </c>
      <c r="F23" s="53">
        <v>0.0</v>
      </c>
      <c r="G23" s="53">
        <v>0.0</v>
      </c>
      <c r="H23" s="53">
        <v>0.0</v>
      </c>
      <c r="I23" s="53">
        <v>0.0</v>
      </c>
      <c r="J23" s="53">
        <v>0.0</v>
      </c>
      <c r="K23" s="53">
        <v>0.0</v>
      </c>
      <c r="L23" s="53">
        <v>0.0</v>
      </c>
      <c r="M23" s="53">
        <v>0.0</v>
      </c>
      <c r="N23" s="53">
        <v>0.0</v>
      </c>
      <c r="O23" s="53">
        <v>0.0</v>
      </c>
      <c r="P23" s="53">
        <v>0.0</v>
      </c>
      <c r="Q23" s="53">
        <v>0.0</v>
      </c>
      <c r="R23" s="53">
        <v>0.0</v>
      </c>
      <c r="S23" s="53">
        <v>0.0</v>
      </c>
      <c r="T23" s="53">
        <v>0.0</v>
      </c>
      <c r="U23" s="53">
        <v>0.0</v>
      </c>
      <c r="V23" s="41"/>
      <c r="W23" s="41"/>
      <c r="X23" s="41"/>
      <c r="Y23" s="41"/>
      <c r="Z23" s="41"/>
      <c r="AA23" s="41"/>
      <c r="AB23" s="41"/>
    </row>
    <row r="24" ht="15.75" customHeight="1">
      <c r="A24" s="41" t="s">
        <v>146</v>
      </c>
      <c r="B24" s="41" t="s">
        <v>147</v>
      </c>
      <c r="C24" s="53">
        <v>0.0</v>
      </c>
      <c r="D24" s="53">
        <v>834.0</v>
      </c>
      <c r="E24" s="53">
        <v>0.0</v>
      </c>
      <c r="F24" s="53">
        <v>-18943.0</v>
      </c>
      <c r="G24" s="53">
        <v>-24913.0</v>
      </c>
      <c r="H24" s="53">
        <v>-1158.0</v>
      </c>
      <c r="I24" s="53">
        <v>0.0</v>
      </c>
      <c r="J24" s="53">
        <v>-498.0</v>
      </c>
      <c r="K24" s="53">
        <v>-1201.0</v>
      </c>
      <c r="L24" s="53">
        <v>-5064.0</v>
      </c>
      <c r="M24" s="53">
        <v>-8256.0</v>
      </c>
      <c r="N24" s="53">
        <v>1581.0</v>
      </c>
      <c r="O24" s="53">
        <v>-14035.0</v>
      </c>
      <c r="P24" s="53">
        <v>-1551.0</v>
      </c>
      <c r="Q24" s="53">
        <v>0.0</v>
      </c>
      <c r="R24" s="53">
        <v>7616.0</v>
      </c>
      <c r="S24" s="53">
        <v>-13486.0</v>
      </c>
      <c r="T24" s="53">
        <v>2879.0</v>
      </c>
      <c r="U24" s="53">
        <v>0.0</v>
      </c>
      <c r="V24" s="41"/>
      <c r="W24" s="41"/>
      <c r="X24" s="41"/>
      <c r="Y24" s="41"/>
      <c r="Z24" s="41"/>
      <c r="AA24" s="41"/>
      <c r="AB24" s="41"/>
    </row>
    <row r="25" ht="15.75" customHeight="1">
      <c r="A25" s="41" t="s">
        <v>148</v>
      </c>
      <c r="B25" s="52" t="s">
        <v>149</v>
      </c>
      <c r="C25" s="53">
        <v>0.0</v>
      </c>
      <c r="D25" s="53">
        <v>0.0</v>
      </c>
      <c r="E25" s="53">
        <v>1156.0</v>
      </c>
      <c r="F25" s="53">
        <v>0.0</v>
      </c>
      <c r="G25" s="53">
        <v>0.0</v>
      </c>
      <c r="H25" s="53">
        <v>0.0</v>
      </c>
      <c r="I25" s="53">
        <v>0.0</v>
      </c>
      <c r="J25" s="53">
        <v>-4689.0</v>
      </c>
      <c r="K25" s="53">
        <v>0.0</v>
      </c>
      <c r="L25" s="53">
        <v>0.0</v>
      </c>
      <c r="M25" s="53">
        <v>0.0</v>
      </c>
      <c r="N25" s="53">
        <v>0.0</v>
      </c>
      <c r="O25" s="53">
        <v>5892.0</v>
      </c>
      <c r="P25" s="53">
        <v>0.0</v>
      </c>
      <c r="Q25" s="53">
        <v>8599.0</v>
      </c>
      <c r="R25" s="53">
        <v>-7333.0</v>
      </c>
      <c r="S25" s="53">
        <v>-2411.0</v>
      </c>
      <c r="T25" s="53">
        <v>-1759.0</v>
      </c>
      <c r="U25" s="53">
        <v>0.0</v>
      </c>
      <c r="V25" s="41"/>
      <c r="W25" s="41"/>
      <c r="X25" s="41"/>
      <c r="Y25" s="41"/>
      <c r="Z25" s="41"/>
      <c r="AA25" s="41"/>
      <c r="AB25" s="41"/>
    </row>
    <row r="26" ht="15.75" customHeight="1">
      <c r="A26" s="41" t="s">
        <v>150</v>
      </c>
      <c r="B26" s="52" t="s">
        <v>151</v>
      </c>
      <c r="C26" s="53">
        <v>-1972.0</v>
      </c>
      <c r="D26" s="53">
        <v>-5814.0</v>
      </c>
      <c r="E26" s="53">
        <v>-2603.0</v>
      </c>
      <c r="F26" s="53">
        <v>-178.0</v>
      </c>
      <c r="G26" s="53">
        <v>-3265.0</v>
      </c>
      <c r="H26" s="53">
        <v>-2657.0</v>
      </c>
      <c r="I26" s="53">
        <v>-5278.0</v>
      </c>
      <c r="J26" s="53">
        <v>-3963.0</v>
      </c>
      <c r="K26" s="53">
        <v>-1270.0</v>
      </c>
      <c r="L26" s="53">
        <v>-1364.0</v>
      </c>
      <c r="M26" s="53">
        <v>-1492.0</v>
      </c>
      <c r="N26" s="53">
        <v>-5711.0</v>
      </c>
      <c r="O26" s="53">
        <v>-2969.0</v>
      </c>
      <c r="P26" s="53">
        <v>-3935.0</v>
      </c>
      <c r="Q26" s="53">
        <v>-3101.0</v>
      </c>
      <c r="R26" s="53">
        <v>-2757.0</v>
      </c>
      <c r="S26" s="53">
        <v>-1880.0</v>
      </c>
      <c r="T26" s="53">
        <v>-1222.0</v>
      </c>
      <c r="U26" s="53">
        <v>-6220.0</v>
      </c>
      <c r="V26" s="41"/>
      <c r="W26" s="41"/>
      <c r="X26" s="41"/>
      <c r="Y26" s="41"/>
      <c r="Z26" s="41"/>
      <c r="AA26" s="41"/>
      <c r="AB26" s="41"/>
    </row>
    <row r="27" ht="15.75" customHeight="1">
      <c r="A27" s="41" t="s">
        <v>152</v>
      </c>
      <c r="B27" s="52" t="s">
        <v>153</v>
      </c>
      <c r="C27" s="53">
        <v>0.0</v>
      </c>
      <c r="D27" s="53">
        <v>8718.0</v>
      </c>
      <c r="E27" s="53">
        <v>0.0</v>
      </c>
      <c r="F27" s="53">
        <v>10478.0</v>
      </c>
      <c r="G27" s="53">
        <v>0.0</v>
      </c>
      <c r="H27" s="53">
        <v>17603.0</v>
      </c>
      <c r="I27" s="53">
        <v>0.0</v>
      </c>
      <c r="J27" s="53">
        <v>-995.0</v>
      </c>
      <c r="K27" s="53">
        <v>0.0</v>
      </c>
      <c r="L27" s="53">
        <v>-863.0</v>
      </c>
      <c r="M27" s="53">
        <v>233.0</v>
      </c>
      <c r="N27" s="53">
        <v>0.0</v>
      </c>
      <c r="O27" s="53">
        <v>0.0</v>
      </c>
      <c r="P27" s="53">
        <v>0.0</v>
      </c>
      <c r="Q27" s="53">
        <v>0.0</v>
      </c>
      <c r="R27" s="53">
        <v>0.0</v>
      </c>
      <c r="S27" s="53">
        <v>0.0</v>
      </c>
      <c r="T27" s="53">
        <v>0.0</v>
      </c>
      <c r="U27" s="53">
        <v>0.0</v>
      </c>
      <c r="V27" s="41"/>
      <c r="W27" s="41"/>
      <c r="X27" s="41"/>
      <c r="Y27" s="41"/>
      <c r="Z27" s="41"/>
      <c r="AA27" s="41"/>
      <c r="AB27" s="41"/>
    </row>
    <row r="28" ht="15.75" customHeight="1">
      <c r="A28" s="41" t="s">
        <v>154</v>
      </c>
      <c r="B28" s="52" t="s">
        <v>155</v>
      </c>
      <c r="C28" s="53">
        <v>0.0</v>
      </c>
      <c r="D28" s="53">
        <v>0.0</v>
      </c>
      <c r="E28" s="53">
        <v>0.0</v>
      </c>
      <c r="F28" s="53">
        <v>0.0</v>
      </c>
      <c r="G28" s="53">
        <v>0.0</v>
      </c>
      <c r="H28" s="53">
        <v>0.0</v>
      </c>
      <c r="I28" s="53">
        <v>0.0</v>
      </c>
      <c r="J28" s="53">
        <v>0.0</v>
      </c>
      <c r="K28" s="53">
        <v>-3094.0</v>
      </c>
      <c r="L28" s="53">
        <v>-7347.0</v>
      </c>
      <c r="M28" s="53">
        <v>-53.0</v>
      </c>
      <c r="N28" s="53">
        <v>-2046.0</v>
      </c>
      <c r="O28" s="53">
        <v>-4057.0</v>
      </c>
      <c r="P28" s="53">
        <v>-60.0</v>
      </c>
      <c r="Q28" s="53">
        <v>451.0</v>
      </c>
      <c r="R28" s="53">
        <v>-4113.0</v>
      </c>
      <c r="S28" s="53">
        <v>-575.0</v>
      </c>
      <c r="T28" s="53">
        <v>-3066.0</v>
      </c>
      <c r="U28" s="53">
        <v>32.0</v>
      </c>
      <c r="V28" s="41"/>
      <c r="W28" s="41"/>
      <c r="X28" s="41"/>
      <c r="Y28" s="41"/>
      <c r="Z28" s="41"/>
      <c r="AA28" s="41"/>
      <c r="AB28" s="41"/>
    </row>
    <row r="29" ht="15.75" customHeight="1">
      <c r="A29" s="41" t="s">
        <v>156</v>
      </c>
      <c r="B29" s="52" t="s">
        <v>157</v>
      </c>
      <c r="C29" s="53">
        <v>0.0</v>
      </c>
      <c r="D29" s="53">
        <v>0.0</v>
      </c>
      <c r="E29" s="53">
        <v>0.0</v>
      </c>
      <c r="F29" s="53">
        <v>0.0</v>
      </c>
      <c r="G29" s="53">
        <v>0.0</v>
      </c>
      <c r="H29" s="53">
        <v>0.0</v>
      </c>
      <c r="I29" s="53">
        <v>0.0</v>
      </c>
      <c r="J29" s="53">
        <v>0.0</v>
      </c>
      <c r="K29" s="53">
        <v>0.0</v>
      </c>
      <c r="L29" s="53">
        <v>0.0</v>
      </c>
      <c r="M29" s="53">
        <v>0.0</v>
      </c>
      <c r="N29" s="53">
        <v>0.0</v>
      </c>
      <c r="O29" s="53">
        <v>0.0</v>
      </c>
      <c r="P29" s="53">
        <v>0.0</v>
      </c>
      <c r="Q29" s="53">
        <v>0.0</v>
      </c>
      <c r="R29" s="53">
        <v>-13948.67</v>
      </c>
      <c r="S29" s="53">
        <v>0.0</v>
      </c>
      <c r="T29" s="53">
        <v>0.0</v>
      </c>
      <c r="U29" s="53">
        <v>0.0</v>
      </c>
      <c r="V29" s="41"/>
      <c r="W29" s="41"/>
      <c r="X29" s="41"/>
      <c r="Y29" s="41"/>
      <c r="Z29" s="41"/>
      <c r="AA29" s="41"/>
      <c r="AB29" s="41"/>
    </row>
    <row r="30" ht="15.75" customHeight="1">
      <c r="A30" s="49" t="s">
        <v>158</v>
      </c>
      <c r="B30" s="50" t="s">
        <v>159</v>
      </c>
      <c r="C30" s="51">
        <f t="shared" ref="C30:U30" si="8">C18+C20</f>
        <v>175072</v>
      </c>
      <c r="D30" s="51">
        <f t="shared" si="8"/>
        <v>178636</v>
      </c>
      <c r="E30" s="51">
        <f t="shared" si="8"/>
        <v>182244</v>
      </c>
      <c r="F30" s="51">
        <f t="shared" si="8"/>
        <v>193785</v>
      </c>
      <c r="G30" s="51">
        <f t="shared" si="8"/>
        <v>188986</v>
      </c>
      <c r="H30" s="51">
        <f t="shared" si="8"/>
        <v>231023</v>
      </c>
      <c r="I30" s="51">
        <f t="shared" si="8"/>
        <v>229975</v>
      </c>
      <c r="J30" s="51">
        <f t="shared" si="8"/>
        <v>217456</v>
      </c>
      <c r="K30" s="51">
        <f t="shared" si="8"/>
        <v>266399</v>
      </c>
      <c r="L30" s="51">
        <f t="shared" si="8"/>
        <v>239612</v>
      </c>
      <c r="M30" s="51">
        <f t="shared" si="8"/>
        <v>266211</v>
      </c>
      <c r="N30" s="51">
        <f t="shared" si="8"/>
        <v>248798</v>
      </c>
      <c r="O30" s="51">
        <f t="shared" si="8"/>
        <v>281261</v>
      </c>
      <c r="P30" s="51">
        <f t="shared" si="8"/>
        <v>281674</v>
      </c>
      <c r="Q30" s="51">
        <f t="shared" si="8"/>
        <v>318366</v>
      </c>
      <c r="R30" s="51">
        <f t="shared" si="8"/>
        <v>300558</v>
      </c>
      <c r="S30" s="51">
        <f t="shared" si="8"/>
        <v>342569</v>
      </c>
      <c r="T30" s="51">
        <f t="shared" si="8"/>
        <v>341435</v>
      </c>
      <c r="U30" s="51">
        <f t="shared" si="8"/>
        <v>378294</v>
      </c>
      <c r="V30" s="41"/>
      <c r="W30" s="41"/>
      <c r="X30" s="41"/>
      <c r="Y30" s="41"/>
      <c r="Z30" s="41"/>
      <c r="AA30" s="41"/>
      <c r="AB30" s="41"/>
    </row>
    <row r="31" ht="15.75" customHeight="1">
      <c r="A31" s="54" t="s">
        <v>160</v>
      </c>
      <c r="B31" s="54" t="s">
        <v>161</v>
      </c>
      <c r="C31" s="55">
        <f t="shared" ref="C31:U31" si="9">C30/C$4</f>
        <v>0.2677674776</v>
      </c>
      <c r="D31" s="55">
        <f t="shared" si="9"/>
        <v>0.2654923549</v>
      </c>
      <c r="E31" s="55">
        <f t="shared" si="9"/>
        <v>0.2558553854</v>
      </c>
      <c r="F31" s="55">
        <f t="shared" si="9"/>
        <v>0.2569912195</v>
      </c>
      <c r="G31" s="55">
        <f t="shared" si="9"/>
        <v>0.2306228866</v>
      </c>
      <c r="H31" s="55">
        <f t="shared" si="9"/>
        <v>0.278015719</v>
      </c>
      <c r="I31" s="55">
        <f t="shared" si="9"/>
        <v>0.2602931672</v>
      </c>
      <c r="J31" s="55">
        <f t="shared" si="9"/>
        <v>0.2394014523</v>
      </c>
      <c r="K31" s="55">
        <f t="shared" si="9"/>
        <v>0.2783322154</v>
      </c>
      <c r="L31" s="55">
        <f t="shared" si="9"/>
        <v>0.2470035822</v>
      </c>
      <c r="M31" s="55">
        <f t="shared" si="9"/>
        <v>0.2608270089</v>
      </c>
      <c r="N31" s="55">
        <f t="shared" si="9"/>
        <v>0.2379714872</v>
      </c>
      <c r="O31" s="55">
        <f t="shared" si="9"/>
        <v>0.2565706894</v>
      </c>
      <c r="P31" s="55">
        <f t="shared" si="9"/>
        <v>0.2478514479</v>
      </c>
      <c r="Q31" s="55">
        <f t="shared" si="9"/>
        <v>0.2699043958</v>
      </c>
      <c r="R31" s="55">
        <f t="shared" si="9"/>
        <v>0.2450112537</v>
      </c>
      <c r="S31" s="55">
        <f t="shared" si="9"/>
        <v>0.2618622645</v>
      </c>
      <c r="T31" s="55">
        <f t="shared" si="9"/>
        <v>0.2573843416</v>
      </c>
      <c r="U31" s="55">
        <f t="shared" si="9"/>
        <v>0.2714887118</v>
      </c>
      <c r="V31" s="41"/>
      <c r="W31" s="41"/>
      <c r="X31" s="41"/>
      <c r="Y31" s="41"/>
      <c r="Z31" s="41"/>
      <c r="AA31" s="41"/>
      <c r="AB31" s="41"/>
    </row>
    <row r="32" ht="15.75" customHeight="1">
      <c r="A32" s="41"/>
      <c r="B32" s="52"/>
      <c r="C32" s="40"/>
      <c r="D32" s="53"/>
      <c r="E32" s="53"/>
      <c r="F32" s="53"/>
      <c r="G32" s="53"/>
      <c r="H32" s="53"/>
      <c r="I32" s="53"/>
      <c r="J32" s="53"/>
      <c r="K32" s="53"/>
      <c r="L32" s="53"/>
      <c r="M32" s="53"/>
      <c r="N32" s="59"/>
      <c r="O32" s="59"/>
      <c r="P32" s="59"/>
      <c r="Q32" s="59"/>
      <c r="R32" s="59"/>
      <c r="S32" s="59"/>
      <c r="T32" s="59"/>
      <c r="U32" s="59"/>
      <c r="V32" s="41"/>
      <c r="W32" s="41"/>
      <c r="X32" s="41"/>
      <c r="Y32" s="41"/>
      <c r="Z32" s="41"/>
      <c r="AA32" s="41"/>
      <c r="AB32" s="41"/>
    </row>
    <row r="33" ht="15.75" customHeight="1">
      <c r="A33" s="60" t="s">
        <v>162</v>
      </c>
      <c r="B33" s="61" t="s">
        <v>163</v>
      </c>
      <c r="C33" s="62"/>
      <c r="D33" s="62"/>
      <c r="E33" s="62"/>
      <c r="F33" s="62"/>
      <c r="G33" s="62"/>
      <c r="H33" s="62"/>
      <c r="I33" s="62"/>
      <c r="J33" s="62"/>
      <c r="K33" s="62"/>
      <c r="L33" s="62"/>
      <c r="M33" s="62"/>
      <c r="N33" s="63"/>
      <c r="O33" s="63"/>
      <c r="P33" s="63"/>
      <c r="Q33" s="63"/>
      <c r="R33" s="63"/>
      <c r="S33" s="63"/>
      <c r="T33" s="63"/>
      <c r="U33" s="63"/>
      <c r="V33" s="41"/>
      <c r="W33" s="41"/>
      <c r="X33" s="41"/>
      <c r="Y33" s="41"/>
      <c r="Z33" s="41"/>
      <c r="AA33" s="41"/>
      <c r="AB33" s="41"/>
    </row>
    <row r="34" ht="15.75" customHeight="1">
      <c r="A34" s="49" t="s">
        <v>107</v>
      </c>
      <c r="B34" s="50" t="s">
        <v>108</v>
      </c>
      <c r="C34" s="51">
        <f t="shared" ref="C34:U34" si="10">C35+C38</f>
        <v>642</v>
      </c>
      <c r="D34" s="51">
        <f t="shared" si="10"/>
        <v>19299</v>
      </c>
      <c r="E34" s="51">
        <f t="shared" si="10"/>
        <v>58683</v>
      </c>
      <c r="F34" s="51">
        <f t="shared" si="10"/>
        <v>63722</v>
      </c>
      <c r="G34" s="51">
        <f t="shared" si="10"/>
        <v>66345</v>
      </c>
      <c r="H34" s="51">
        <f t="shared" si="10"/>
        <v>71582</v>
      </c>
      <c r="I34" s="51">
        <f t="shared" si="10"/>
        <v>78397</v>
      </c>
      <c r="J34" s="51">
        <f t="shared" si="10"/>
        <v>84231</v>
      </c>
      <c r="K34" s="51">
        <f t="shared" si="10"/>
        <v>88063</v>
      </c>
      <c r="L34" s="51">
        <f t="shared" si="10"/>
        <v>98083</v>
      </c>
      <c r="M34" s="51">
        <f t="shared" si="10"/>
        <v>112189</v>
      </c>
      <c r="N34" s="51">
        <f t="shared" si="10"/>
        <v>121337</v>
      </c>
      <c r="O34" s="51">
        <f t="shared" si="10"/>
        <v>127553</v>
      </c>
      <c r="P34" s="51">
        <f t="shared" si="10"/>
        <v>133645</v>
      </c>
      <c r="Q34" s="51">
        <f t="shared" si="10"/>
        <v>140295</v>
      </c>
      <c r="R34" s="51">
        <f t="shared" si="10"/>
        <v>145866</v>
      </c>
      <c r="S34" s="51">
        <f t="shared" si="10"/>
        <v>148866</v>
      </c>
      <c r="T34" s="51">
        <f t="shared" si="10"/>
        <v>155916</v>
      </c>
      <c r="U34" s="51">
        <f t="shared" si="10"/>
        <v>161850</v>
      </c>
      <c r="V34" s="41"/>
      <c r="W34" s="41"/>
      <c r="X34" s="41"/>
      <c r="Y34" s="41"/>
      <c r="Z34" s="41"/>
      <c r="AA34" s="41"/>
      <c r="AB34" s="41"/>
    </row>
    <row r="35" ht="15.75" customHeight="1">
      <c r="A35" s="41" t="s">
        <v>109</v>
      </c>
      <c r="B35" s="52" t="s">
        <v>110</v>
      </c>
      <c r="C35" s="53">
        <f t="shared" ref="C35:U35" si="11">C36+C37</f>
        <v>777</v>
      </c>
      <c r="D35" s="53">
        <f t="shared" si="11"/>
        <v>18887</v>
      </c>
      <c r="E35" s="53">
        <f t="shared" si="11"/>
        <v>57241</v>
      </c>
      <c r="F35" s="53">
        <f t="shared" si="11"/>
        <v>61991</v>
      </c>
      <c r="G35" s="53">
        <f t="shared" si="11"/>
        <v>65488</v>
      </c>
      <c r="H35" s="53">
        <f t="shared" si="11"/>
        <v>70459</v>
      </c>
      <c r="I35" s="53">
        <f t="shared" si="11"/>
        <v>77073</v>
      </c>
      <c r="J35" s="53">
        <f t="shared" si="11"/>
        <v>82942</v>
      </c>
      <c r="K35" s="53">
        <f t="shared" si="11"/>
        <v>86784</v>
      </c>
      <c r="L35" s="53">
        <f t="shared" si="11"/>
        <v>95158</v>
      </c>
      <c r="M35" s="53">
        <f t="shared" si="11"/>
        <v>108460</v>
      </c>
      <c r="N35" s="53">
        <f t="shared" si="11"/>
        <v>117263</v>
      </c>
      <c r="O35" s="53">
        <f t="shared" si="11"/>
        <v>123527</v>
      </c>
      <c r="P35" s="53">
        <f t="shared" si="11"/>
        <v>129269</v>
      </c>
      <c r="Q35" s="53">
        <f t="shared" si="11"/>
        <v>134458</v>
      </c>
      <c r="R35" s="53">
        <f t="shared" si="11"/>
        <v>140113</v>
      </c>
      <c r="S35" s="53">
        <f t="shared" si="11"/>
        <v>142578</v>
      </c>
      <c r="T35" s="53">
        <f t="shared" si="11"/>
        <v>151184</v>
      </c>
      <c r="U35" s="53">
        <f t="shared" si="11"/>
        <v>155796</v>
      </c>
      <c r="V35" s="41"/>
      <c r="W35" s="41"/>
      <c r="X35" s="41"/>
      <c r="Y35" s="41"/>
      <c r="Z35" s="41"/>
      <c r="AA35" s="41"/>
      <c r="AB35" s="41"/>
    </row>
    <row r="36" ht="15.75" customHeight="1">
      <c r="A36" s="41" t="s">
        <v>164</v>
      </c>
      <c r="B36" s="52" t="s">
        <v>164</v>
      </c>
      <c r="C36" s="53">
        <v>777.0</v>
      </c>
      <c r="D36" s="53">
        <v>18887.0</v>
      </c>
      <c r="E36" s="53">
        <v>57241.0</v>
      </c>
      <c r="F36" s="53">
        <v>61991.0</v>
      </c>
      <c r="G36" s="53">
        <v>65488.0</v>
      </c>
      <c r="H36" s="53">
        <v>70459.0</v>
      </c>
      <c r="I36" s="53">
        <v>76982.0</v>
      </c>
      <c r="J36" s="53">
        <v>82841.0</v>
      </c>
      <c r="K36" s="53">
        <v>85673.0</v>
      </c>
      <c r="L36" s="53">
        <v>93786.0</v>
      </c>
      <c r="M36" s="53">
        <v>107377.0</v>
      </c>
      <c r="N36" s="53">
        <v>116956.0</v>
      </c>
      <c r="O36" s="53">
        <v>121803.0</v>
      </c>
      <c r="P36" s="53">
        <v>126691.0</v>
      </c>
      <c r="Q36" s="53">
        <v>131238.0</v>
      </c>
      <c r="R36" s="53">
        <v>136283.0</v>
      </c>
      <c r="S36" s="53">
        <v>137795.0</v>
      </c>
      <c r="T36" s="53">
        <v>144781.0</v>
      </c>
      <c r="U36" s="53">
        <v>150884.0</v>
      </c>
      <c r="V36" s="41"/>
      <c r="W36" s="41"/>
      <c r="X36" s="41"/>
      <c r="Y36" s="41"/>
      <c r="Z36" s="41"/>
      <c r="AA36" s="41"/>
      <c r="AB36" s="41"/>
    </row>
    <row r="37" ht="15.75" customHeight="1">
      <c r="A37" s="41" t="s">
        <v>165</v>
      </c>
      <c r="B37" s="52" t="s">
        <v>166</v>
      </c>
      <c r="C37" s="53">
        <v>0.0</v>
      </c>
      <c r="D37" s="53">
        <v>0.0</v>
      </c>
      <c r="E37" s="53">
        <v>0.0</v>
      </c>
      <c r="F37" s="53">
        <v>0.0</v>
      </c>
      <c r="G37" s="53">
        <v>0.0</v>
      </c>
      <c r="H37" s="53">
        <v>0.0</v>
      </c>
      <c r="I37" s="53">
        <v>91.0</v>
      </c>
      <c r="J37" s="53">
        <v>101.0</v>
      </c>
      <c r="K37" s="53">
        <v>1111.0</v>
      </c>
      <c r="L37" s="53">
        <v>1372.0</v>
      </c>
      <c r="M37" s="53">
        <v>1083.0</v>
      </c>
      <c r="N37" s="53">
        <v>307.0</v>
      </c>
      <c r="O37" s="53">
        <v>1724.0</v>
      </c>
      <c r="P37" s="53">
        <v>2578.0</v>
      </c>
      <c r="Q37" s="53">
        <v>3220.0</v>
      </c>
      <c r="R37" s="53">
        <v>3830.0</v>
      </c>
      <c r="S37" s="53">
        <v>4783.0</v>
      </c>
      <c r="T37" s="53">
        <v>6403.0</v>
      </c>
      <c r="U37" s="53">
        <v>4912.0</v>
      </c>
      <c r="V37" s="41"/>
      <c r="W37" s="41"/>
      <c r="X37" s="41"/>
      <c r="Y37" s="41"/>
      <c r="Z37" s="41"/>
      <c r="AA37" s="41"/>
      <c r="AB37" s="41"/>
    </row>
    <row r="38" ht="15.75" customHeight="1">
      <c r="A38" s="41" t="s">
        <v>111</v>
      </c>
      <c r="B38" s="52" t="s">
        <v>112</v>
      </c>
      <c r="C38" s="53">
        <v>-135.0</v>
      </c>
      <c r="D38" s="53">
        <v>412.0</v>
      </c>
      <c r="E38" s="53">
        <v>1442.0</v>
      </c>
      <c r="F38" s="53">
        <v>1731.0</v>
      </c>
      <c r="G38" s="53">
        <v>857.0</v>
      </c>
      <c r="H38" s="53">
        <v>1123.0</v>
      </c>
      <c r="I38" s="53">
        <v>1324.0</v>
      </c>
      <c r="J38" s="53">
        <v>1289.0</v>
      </c>
      <c r="K38" s="53">
        <v>1279.0</v>
      </c>
      <c r="L38" s="53">
        <v>2925.0</v>
      </c>
      <c r="M38" s="53">
        <v>3729.0</v>
      </c>
      <c r="N38" s="53">
        <v>4074.0</v>
      </c>
      <c r="O38" s="53">
        <v>4026.0</v>
      </c>
      <c r="P38" s="53">
        <v>4376.0</v>
      </c>
      <c r="Q38" s="53">
        <v>5837.0</v>
      </c>
      <c r="R38" s="53">
        <v>5753.0</v>
      </c>
      <c r="S38" s="53">
        <v>6288.0</v>
      </c>
      <c r="T38" s="53">
        <v>4732.0</v>
      </c>
      <c r="U38" s="53">
        <v>6054.0</v>
      </c>
      <c r="V38" s="41"/>
      <c r="W38" s="41"/>
      <c r="X38" s="41"/>
      <c r="Y38" s="41"/>
      <c r="Z38" s="41"/>
      <c r="AA38" s="41"/>
      <c r="AB38" s="41"/>
    </row>
    <row r="39" ht="15.75" customHeight="1">
      <c r="A39" s="41" t="s">
        <v>117</v>
      </c>
      <c r="B39" s="52" t="s">
        <v>118</v>
      </c>
      <c r="C39" s="53">
        <v>-62.0</v>
      </c>
      <c r="D39" s="53">
        <v>-4144.0</v>
      </c>
      <c r="E39" s="53">
        <v>-14156.0</v>
      </c>
      <c r="F39" s="53">
        <v>-16018.0</v>
      </c>
      <c r="G39" s="53">
        <v>-16465.0</v>
      </c>
      <c r="H39" s="53">
        <v>-16555.0</v>
      </c>
      <c r="I39" s="53">
        <v>-17876.0</v>
      </c>
      <c r="J39" s="53">
        <v>-19022.0</v>
      </c>
      <c r="K39" s="53">
        <v>-20033.0</v>
      </c>
      <c r="L39" s="53">
        <v>-22179.0</v>
      </c>
      <c r="M39" s="53">
        <v>-25391.0</v>
      </c>
      <c r="N39" s="53">
        <v>-27557.0</v>
      </c>
      <c r="O39" s="53">
        <v>-29428.0</v>
      </c>
      <c r="P39" s="53">
        <v>-32072.0</v>
      </c>
      <c r="Q39" s="53">
        <v>-32851.0</v>
      </c>
      <c r="R39" s="53">
        <v>-33584.67</v>
      </c>
      <c r="S39" s="53">
        <v>-37652.0</v>
      </c>
      <c r="T39" s="53">
        <v>-39134.0</v>
      </c>
      <c r="U39" s="53">
        <v>-40254.0</v>
      </c>
      <c r="V39" s="41"/>
      <c r="W39" s="41"/>
      <c r="X39" s="41"/>
      <c r="Y39" s="41"/>
      <c r="Z39" s="41"/>
      <c r="AA39" s="41"/>
      <c r="AB39" s="41"/>
    </row>
    <row r="40" ht="15.75" customHeight="1">
      <c r="A40" s="49" t="s">
        <v>119</v>
      </c>
      <c r="B40" s="50" t="s">
        <v>120</v>
      </c>
      <c r="C40" s="51">
        <f t="shared" ref="C40:U40" si="12">C39+C34</f>
        <v>580</v>
      </c>
      <c r="D40" s="51">
        <f t="shared" si="12"/>
        <v>15155</v>
      </c>
      <c r="E40" s="51">
        <f t="shared" si="12"/>
        <v>44527</v>
      </c>
      <c r="F40" s="51">
        <f t="shared" si="12"/>
        <v>47704</v>
      </c>
      <c r="G40" s="51">
        <f t="shared" si="12"/>
        <v>49880</v>
      </c>
      <c r="H40" s="51">
        <f t="shared" si="12"/>
        <v>55027</v>
      </c>
      <c r="I40" s="51">
        <f t="shared" si="12"/>
        <v>60521</v>
      </c>
      <c r="J40" s="51">
        <f t="shared" si="12"/>
        <v>65209</v>
      </c>
      <c r="K40" s="51">
        <f t="shared" si="12"/>
        <v>68030</v>
      </c>
      <c r="L40" s="51">
        <f t="shared" si="12"/>
        <v>75904</v>
      </c>
      <c r="M40" s="51">
        <f t="shared" si="12"/>
        <v>86798</v>
      </c>
      <c r="N40" s="51">
        <f t="shared" si="12"/>
        <v>93780</v>
      </c>
      <c r="O40" s="51">
        <f t="shared" si="12"/>
        <v>98125</v>
      </c>
      <c r="P40" s="51">
        <f t="shared" si="12"/>
        <v>101573</v>
      </c>
      <c r="Q40" s="51">
        <f t="shared" si="12"/>
        <v>107444</v>
      </c>
      <c r="R40" s="51">
        <f t="shared" si="12"/>
        <v>112281.33</v>
      </c>
      <c r="S40" s="51">
        <f t="shared" si="12"/>
        <v>111214</v>
      </c>
      <c r="T40" s="51">
        <f t="shared" si="12"/>
        <v>116782</v>
      </c>
      <c r="U40" s="51">
        <f t="shared" si="12"/>
        <v>121596</v>
      </c>
      <c r="V40" s="41"/>
      <c r="W40" s="41"/>
      <c r="X40" s="41"/>
      <c r="Y40" s="41"/>
      <c r="Z40" s="41"/>
      <c r="AA40" s="41"/>
      <c r="AB40" s="41"/>
    </row>
    <row r="41" ht="15.75" customHeight="1">
      <c r="A41" s="54" t="s">
        <v>121</v>
      </c>
      <c r="B41" s="54" t="s">
        <v>122</v>
      </c>
      <c r="C41" s="55">
        <f t="shared" ref="C41:U41" si="13">C40/C34</f>
        <v>0.9034267913</v>
      </c>
      <c r="D41" s="55">
        <f t="shared" si="13"/>
        <v>0.7852738484</v>
      </c>
      <c r="E41" s="55">
        <f t="shared" si="13"/>
        <v>0.7587717056</v>
      </c>
      <c r="F41" s="55">
        <f t="shared" si="13"/>
        <v>0.7486268479</v>
      </c>
      <c r="G41" s="55">
        <f t="shared" si="13"/>
        <v>0.751827568</v>
      </c>
      <c r="H41" s="55">
        <f t="shared" si="13"/>
        <v>0.7687267749</v>
      </c>
      <c r="I41" s="55">
        <f t="shared" si="13"/>
        <v>0.7719810707</v>
      </c>
      <c r="J41" s="55">
        <f t="shared" si="13"/>
        <v>0.7741686552</v>
      </c>
      <c r="K41" s="55">
        <f t="shared" si="13"/>
        <v>0.7725151312</v>
      </c>
      <c r="L41" s="55">
        <f t="shared" si="13"/>
        <v>0.7738751873</v>
      </c>
      <c r="M41" s="55">
        <f t="shared" si="13"/>
        <v>0.7736765637</v>
      </c>
      <c r="N41" s="55">
        <f t="shared" si="13"/>
        <v>0.7728887314</v>
      </c>
      <c r="O41" s="55">
        <f t="shared" si="13"/>
        <v>0.7692880606</v>
      </c>
      <c r="P41" s="55">
        <f t="shared" si="13"/>
        <v>0.760020951</v>
      </c>
      <c r="Q41" s="55">
        <f t="shared" si="13"/>
        <v>0.7658434014</v>
      </c>
      <c r="R41" s="55">
        <f t="shared" si="13"/>
        <v>0.7697566945</v>
      </c>
      <c r="S41" s="55">
        <f t="shared" si="13"/>
        <v>0.7470745503</v>
      </c>
      <c r="T41" s="55">
        <f t="shared" si="13"/>
        <v>0.749005875</v>
      </c>
      <c r="U41" s="55">
        <f t="shared" si="13"/>
        <v>0.7512882298</v>
      </c>
      <c r="V41" s="41"/>
      <c r="W41" s="41"/>
      <c r="X41" s="41"/>
      <c r="Y41" s="41"/>
      <c r="Z41" s="41"/>
      <c r="AA41" s="41"/>
      <c r="AB41" s="41"/>
    </row>
    <row r="42" ht="15.75" customHeight="1">
      <c r="A42" s="41" t="s">
        <v>123</v>
      </c>
      <c r="B42" s="52" t="s">
        <v>124</v>
      </c>
      <c r="C42" s="53">
        <v>0.0</v>
      </c>
      <c r="D42" s="53">
        <v>-3930.0</v>
      </c>
      <c r="E42" s="53">
        <v>-14343.0</v>
      </c>
      <c r="F42" s="53">
        <v>-14416.0</v>
      </c>
      <c r="G42" s="53">
        <v>-16545.0</v>
      </c>
      <c r="H42" s="53">
        <v>-18944.0</v>
      </c>
      <c r="I42" s="53">
        <v>-19771.0</v>
      </c>
      <c r="J42" s="53">
        <v>-21368.0</v>
      </c>
      <c r="K42" s="53">
        <v>-22708.0</v>
      </c>
      <c r="L42" s="53">
        <v>-24392.0</v>
      </c>
      <c r="M42" s="53">
        <v>-26741.0</v>
      </c>
      <c r="N42" s="53">
        <v>-27620.0</v>
      </c>
      <c r="O42" s="53">
        <v>-28311.0</v>
      </c>
      <c r="P42" s="53">
        <v>-29247.0</v>
      </c>
      <c r="Q42" s="53">
        <v>-27883.0</v>
      </c>
      <c r="R42" s="53">
        <v>-24552.0</v>
      </c>
      <c r="S42" s="53">
        <v>-29558.0</v>
      </c>
      <c r="T42" s="53">
        <v>-30512.0</v>
      </c>
      <c r="U42" s="53">
        <v>-31948.0</v>
      </c>
      <c r="V42" s="41"/>
      <c r="W42" s="41"/>
      <c r="X42" s="41"/>
      <c r="Y42" s="41"/>
      <c r="Z42" s="41"/>
      <c r="AA42" s="41"/>
      <c r="AB42" s="41"/>
    </row>
    <row r="43" ht="15.75" customHeight="1">
      <c r="A43" s="41" t="s">
        <v>125</v>
      </c>
      <c r="B43" s="52" t="s">
        <v>95</v>
      </c>
      <c r="C43" s="53">
        <v>-55.0</v>
      </c>
      <c r="D43" s="53">
        <v>-186.0</v>
      </c>
      <c r="E43" s="53">
        <v>-1771.0</v>
      </c>
      <c r="F43" s="53">
        <v>55.0</v>
      </c>
      <c r="G43" s="53">
        <v>-756.0</v>
      </c>
      <c r="H43" s="53">
        <v>-1151.0</v>
      </c>
      <c r="I43" s="53">
        <v>-1483.0</v>
      </c>
      <c r="J43" s="53">
        <v>-1518.0</v>
      </c>
      <c r="K43" s="53">
        <v>-1637.0</v>
      </c>
      <c r="L43" s="53">
        <v>-1697.0</v>
      </c>
      <c r="M43" s="53">
        <v>-2535.0</v>
      </c>
      <c r="N43" s="53">
        <v>-2124.0</v>
      </c>
      <c r="O43" s="53">
        <v>-3061.0</v>
      </c>
      <c r="P43" s="53">
        <v>-4102.0</v>
      </c>
      <c r="Q43" s="53">
        <v>-3758.0</v>
      </c>
      <c r="R43" s="53">
        <v>-2867.0</v>
      </c>
      <c r="S43" s="53">
        <v>-927.0</v>
      </c>
      <c r="T43" s="53">
        <v>-2739.0</v>
      </c>
      <c r="U43" s="53">
        <v>-2505.0</v>
      </c>
      <c r="V43" s="41"/>
      <c r="W43" s="41"/>
      <c r="X43" s="41"/>
      <c r="Y43" s="41"/>
      <c r="Z43" s="41"/>
      <c r="AA43" s="41"/>
      <c r="AB43" s="41"/>
    </row>
    <row r="44" ht="15.75" customHeight="1">
      <c r="A44" s="41" t="s">
        <v>126</v>
      </c>
      <c r="B44" s="52" t="s">
        <v>127</v>
      </c>
      <c r="C44" s="53">
        <v>-710.0</v>
      </c>
      <c r="D44" s="53">
        <v>-6972.0</v>
      </c>
      <c r="E44" s="53">
        <v>-18644.0</v>
      </c>
      <c r="F44" s="53">
        <v>-21229.0</v>
      </c>
      <c r="G44" s="53">
        <v>-21451.0</v>
      </c>
      <c r="H44" s="53">
        <v>-21669.0</v>
      </c>
      <c r="I44" s="53">
        <v>-23861.0</v>
      </c>
      <c r="J44" s="53">
        <v>-27900.0</v>
      </c>
      <c r="K44" s="53">
        <v>-28065.0</v>
      </c>
      <c r="L44" s="53">
        <v>-32648.0</v>
      </c>
      <c r="M44" s="53">
        <v>-35979.0</v>
      </c>
      <c r="N44" s="53">
        <v>-45523.0</v>
      </c>
      <c r="O44" s="53">
        <v>-41759.0</v>
      </c>
      <c r="P44" s="53">
        <v>-44136.0</v>
      </c>
      <c r="Q44" s="53">
        <v>-43285.0</v>
      </c>
      <c r="R44" s="53">
        <v>-50331.0</v>
      </c>
      <c r="S44" s="53">
        <v>-47811.0</v>
      </c>
      <c r="T44" s="53">
        <v>-49528.0</v>
      </c>
      <c r="U44" s="53">
        <v>-51804.0</v>
      </c>
      <c r="V44" s="41"/>
      <c r="W44" s="41"/>
      <c r="X44" s="41"/>
      <c r="Y44" s="41"/>
      <c r="Z44" s="41"/>
      <c r="AA44" s="41"/>
      <c r="AB44" s="41"/>
    </row>
    <row r="45" ht="15.75" customHeight="1">
      <c r="A45" s="41" t="s">
        <v>167</v>
      </c>
      <c r="B45" s="52" t="s">
        <v>168</v>
      </c>
      <c r="C45" s="53">
        <v>99.0</v>
      </c>
      <c r="D45" s="53">
        <v>-2620.0</v>
      </c>
      <c r="E45" s="53">
        <v>-7701.0</v>
      </c>
      <c r="F45" s="53">
        <v>-11841.0</v>
      </c>
      <c r="G45" s="53">
        <v>-9839.0</v>
      </c>
      <c r="H45" s="53">
        <v>-9770.0</v>
      </c>
      <c r="I45" s="53">
        <v>-10672.0</v>
      </c>
      <c r="J45" s="53">
        <v>-11634.0</v>
      </c>
      <c r="K45" s="53">
        <v>-11946.0</v>
      </c>
      <c r="L45" s="53">
        <v>-13465.0</v>
      </c>
      <c r="M45" s="53">
        <v>-14680.0</v>
      </c>
      <c r="N45" s="53">
        <v>-16290.0</v>
      </c>
      <c r="O45" s="53">
        <v>-15518.0</v>
      </c>
      <c r="P45" s="53">
        <v>-16397.0</v>
      </c>
      <c r="Q45" s="53">
        <v>-15082.0</v>
      </c>
      <c r="R45" s="53">
        <v>-14646.0</v>
      </c>
      <c r="S45" s="53">
        <v>-15126.0</v>
      </c>
      <c r="T45" s="53">
        <v>-15782.0</v>
      </c>
      <c r="U45" s="53">
        <v>-15020.0</v>
      </c>
      <c r="V45" s="41"/>
      <c r="W45" s="41"/>
      <c r="X45" s="41"/>
      <c r="Y45" s="41"/>
      <c r="Z45" s="41"/>
      <c r="AA45" s="41"/>
      <c r="AB45" s="41"/>
    </row>
    <row r="46" ht="15.75" customHeight="1">
      <c r="A46" s="49" t="s">
        <v>169</v>
      </c>
      <c r="B46" s="50" t="s">
        <v>170</v>
      </c>
      <c r="C46" s="51">
        <f t="shared" ref="C46:U46" si="14">C40+SUM(C42,C43,C44,C45)</f>
        <v>-86</v>
      </c>
      <c r="D46" s="51">
        <f t="shared" si="14"/>
        <v>1447</v>
      </c>
      <c r="E46" s="51">
        <f t="shared" si="14"/>
        <v>2068</v>
      </c>
      <c r="F46" s="51">
        <f t="shared" si="14"/>
        <v>273</v>
      </c>
      <c r="G46" s="51">
        <f t="shared" si="14"/>
        <v>1289</v>
      </c>
      <c r="H46" s="51">
        <f t="shared" si="14"/>
        <v>3493</v>
      </c>
      <c r="I46" s="51">
        <f t="shared" si="14"/>
        <v>4734</v>
      </c>
      <c r="J46" s="51">
        <f t="shared" si="14"/>
        <v>2789</v>
      </c>
      <c r="K46" s="51">
        <f t="shared" si="14"/>
        <v>3674</v>
      </c>
      <c r="L46" s="51">
        <f t="shared" si="14"/>
        <v>3702</v>
      </c>
      <c r="M46" s="51">
        <f t="shared" si="14"/>
        <v>6863</v>
      </c>
      <c r="N46" s="51">
        <f t="shared" si="14"/>
        <v>2223</v>
      </c>
      <c r="O46" s="51">
        <f t="shared" si="14"/>
        <v>9476</v>
      </c>
      <c r="P46" s="51">
        <f t="shared" si="14"/>
        <v>7691</v>
      </c>
      <c r="Q46" s="51">
        <f t="shared" si="14"/>
        <v>17436</v>
      </c>
      <c r="R46" s="51">
        <f t="shared" si="14"/>
        <v>19885.33</v>
      </c>
      <c r="S46" s="51">
        <f t="shared" si="14"/>
        <v>17792</v>
      </c>
      <c r="T46" s="51">
        <f t="shared" si="14"/>
        <v>18221</v>
      </c>
      <c r="U46" s="51">
        <f t="shared" si="14"/>
        <v>20319</v>
      </c>
      <c r="V46" s="41"/>
      <c r="W46" s="41"/>
      <c r="X46" s="41"/>
      <c r="Y46" s="41"/>
      <c r="Z46" s="41"/>
      <c r="AA46" s="41"/>
      <c r="AB46" s="41"/>
    </row>
    <row r="47" ht="15.75" customHeight="1">
      <c r="A47" s="54" t="s">
        <v>171</v>
      </c>
      <c r="B47" s="54" t="s">
        <v>172</v>
      </c>
      <c r="C47" s="55">
        <f t="shared" ref="C47:U47" si="15">C46/C$34</f>
        <v>-0.1339563863</v>
      </c>
      <c r="D47" s="55">
        <f t="shared" si="15"/>
        <v>0.07497797813</v>
      </c>
      <c r="E47" s="55">
        <f t="shared" si="15"/>
        <v>0.03524018881</v>
      </c>
      <c r="F47" s="55">
        <f t="shared" si="15"/>
        <v>0.004284234644</v>
      </c>
      <c r="G47" s="55">
        <f t="shared" si="15"/>
        <v>0.01942874369</v>
      </c>
      <c r="H47" s="55">
        <f t="shared" si="15"/>
        <v>0.04879718365</v>
      </c>
      <c r="I47" s="55">
        <f t="shared" si="15"/>
        <v>0.06038496371</v>
      </c>
      <c r="J47" s="55">
        <f t="shared" si="15"/>
        <v>0.03311132481</v>
      </c>
      <c r="K47" s="55">
        <f t="shared" si="15"/>
        <v>0.04172013218</v>
      </c>
      <c r="L47" s="55">
        <f t="shared" si="15"/>
        <v>0.03774354373</v>
      </c>
      <c r="M47" s="55">
        <f t="shared" si="15"/>
        <v>0.06117355534</v>
      </c>
      <c r="N47" s="55">
        <f t="shared" si="15"/>
        <v>0.01832087492</v>
      </c>
      <c r="O47" s="55">
        <f t="shared" si="15"/>
        <v>0.07429068701</v>
      </c>
      <c r="P47" s="55">
        <f t="shared" si="15"/>
        <v>0.05754798159</v>
      </c>
      <c r="Q47" s="55">
        <f t="shared" si="15"/>
        <v>0.1242809794</v>
      </c>
      <c r="R47" s="55">
        <f t="shared" si="15"/>
        <v>0.1363260115</v>
      </c>
      <c r="S47" s="55">
        <f t="shared" si="15"/>
        <v>0.119516881</v>
      </c>
      <c r="T47" s="55">
        <f t="shared" si="15"/>
        <v>0.1168642089</v>
      </c>
      <c r="U47" s="55">
        <f t="shared" si="15"/>
        <v>0.1255421687</v>
      </c>
      <c r="V47" s="41"/>
      <c r="W47" s="41"/>
      <c r="X47" s="41"/>
      <c r="Y47" s="41"/>
      <c r="Z47" s="41"/>
      <c r="AA47" s="41"/>
      <c r="AB47" s="41"/>
    </row>
    <row r="48" ht="15.75" customHeight="1">
      <c r="A48" s="56" t="s">
        <v>138</v>
      </c>
      <c r="B48" s="57" t="s">
        <v>139</v>
      </c>
      <c r="C48" s="58">
        <f t="shared" ref="C48:U48" si="16">SUM(C49:C51)</f>
        <v>0</v>
      </c>
      <c r="D48" s="58">
        <f t="shared" si="16"/>
        <v>0</v>
      </c>
      <c r="E48" s="58">
        <f t="shared" si="16"/>
        <v>0</v>
      </c>
      <c r="F48" s="58">
        <f t="shared" si="16"/>
        <v>0</v>
      </c>
      <c r="G48" s="58">
        <f t="shared" si="16"/>
        <v>0</v>
      </c>
      <c r="H48" s="58">
        <f t="shared" si="16"/>
        <v>0</v>
      </c>
      <c r="I48" s="58">
        <f t="shared" si="16"/>
        <v>0</v>
      </c>
      <c r="J48" s="58">
        <f t="shared" si="16"/>
        <v>-2099</v>
      </c>
      <c r="K48" s="58">
        <f t="shared" si="16"/>
        <v>-20407</v>
      </c>
      <c r="L48" s="58">
        <f t="shared" si="16"/>
        <v>0</v>
      </c>
      <c r="M48" s="58">
        <f t="shared" si="16"/>
        <v>395</v>
      </c>
      <c r="N48" s="58">
        <f t="shared" si="16"/>
        <v>-39976</v>
      </c>
      <c r="O48" s="58">
        <f t="shared" si="16"/>
        <v>0</v>
      </c>
      <c r="P48" s="58">
        <f t="shared" si="16"/>
        <v>-10390</v>
      </c>
      <c r="Q48" s="58">
        <f t="shared" si="16"/>
        <v>-728</v>
      </c>
      <c r="R48" s="58">
        <f t="shared" si="16"/>
        <v>-23083.33</v>
      </c>
      <c r="S48" s="58">
        <f t="shared" si="16"/>
        <v>0</v>
      </c>
      <c r="T48" s="58">
        <f t="shared" si="16"/>
        <v>-8843</v>
      </c>
      <c r="U48" s="58">
        <f t="shared" si="16"/>
        <v>-597</v>
      </c>
      <c r="V48" s="41"/>
      <c r="W48" s="41"/>
      <c r="X48" s="41"/>
      <c r="Y48" s="41"/>
      <c r="Z48" s="41"/>
      <c r="AA48" s="41"/>
      <c r="AB48" s="41"/>
    </row>
    <row r="49" ht="15.75" customHeight="1">
      <c r="A49" s="41" t="s">
        <v>146</v>
      </c>
      <c r="B49" s="52" t="s">
        <v>147</v>
      </c>
      <c r="C49" s="53">
        <v>0.0</v>
      </c>
      <c r="D49" s="53">
        <v>0.0</v>
      </c>
      <c r="E49" s="53">
        <v>0.0</v>
      </c>
      <c r="F49" s="53">
        <v>0.0</v>
      </c>
      <c r="G49" s="53">
        <v>0.0</v>
      </c>
      <c r="H49" s="53">
        <v>0.0</v>
      </c>
      <c r="I49" s="53">
        <v>0.0</v>
      </c>
      <c r="J49" s="53">
        <v>-2099.0</v>
      </c>
      <c r="K49" s="53">
        <v>-20407.0</v>
      </c>
      <c r="L49" s="53">
        <v>0.0</v>
      </c>
      <c r="M49" s="53">
        <v>395.0</v>
      </c>
      <c r="N49" s="53">
        <v>-39976.0</v>
      </c>
      <c r="O49" s="53">
        <v>0.0</v>
      </c>
      <c r="P49" s="53">
        <v>-9825.0</v>
      </c>
      <c r="Q49" s="53">
        <v>-728.0</v>
      </c>
      <c r="R49" s="53">
        <v>-21553.0</v>
      </c>
      <c r="S49" s="53">
        <v>0.0</v>
      </c>
      <c r="T49" s="53">
        <v>-6641.0</v>
      </c>
      <c r="U49" s="53">
        <v>0.0</v>
      </c>
      <c r="V49" s="41"/>
      <c r="W49" s="41"/>
      <c r="X49" s="41"/>
      <c r="Y49" s="41"/>
      <c r="Z49" s="41"/>
      <c r="AA49" s="41"/>
      <c r="AB49" s="41"/>
    </row>
    <row r="50" ht="15.75" customHeight="1">
      <c r="A50" s="41" t="s">
        <v>154</v>
      </c>
      <c r="B50" s="52" t="s">
        <v>155</v>
      </c>
      <c r="C50" s="53">
        <v>0.0</v>
      </c>
      <c r="D50" s="53">
        <v>0.0</v>
      </c>
      <c r="E50" s="53">
        <v>0.0</v>
      </c>
      <c r="F50" s="53">
        <v>0.0</v>
      </c>
      <c r="G50" s="53">
        <v>0.0</v>
      </c>
      <c r="H50" s="53">
        <v>0.0</v>
      </c>
      <c r="I50" s="53">
        <v>0.0</v>
      </c>
      <c r="J50" s="53">
        <v>0.0</v>
      </c>
      <c r="K50" s="53">
        <v>0.0</v>
      </c>
      <c r="L50" s="53">
        <v>0.0</v>
      </c>
      <c r="M50" s="53">
        <v>0.0</v>
      </c>
      <c r="N50" s="53">
        <v>0.0</v>
      </c>
      <c r="O50" s="53">
        <v>0.0</v>
      </c>
      <c r="P50" s="53">
        <v>-565.0</v>
      </c>
      <c r="Q50" s="53">
        <v>0.0</v>
      </c>
      <c r="R50" s="53">
        <v>0.0</v>
      </c>
      <c r="S50" s="53">
        <v>0.0</v>
      </c>
      <c r="T50" s="53">
        <v>-2202.0</v>
      </c>
      <c r="U50" s="53">
        <v>-597.0</v>
      </c>
      <c r="V50" s="41"/>
      <c r="W50" s="41"/>
      <c r="X50" s="41"/>
      <c r="Y50" s="41"/>
      <c r="Z50" s="41"/>
      <c r="AA50" s="41"/>
      <c r="AB50" s="41"/>
    </row>
    <row r="51" ht="15.75" customHeight="1">
      <c r="A51" s="41" t="s">
        <v>156</v>
      </c>
      <c r="B51" s="52" t="s">
        <v>173</v>
      </c>
      <c r="C51" s="53">
        <v>0.0</v>
      </c>
      <c r="D51" s="53">
        <v>0.0</v>
      </c>
      <c r="E51" s="53">
        <v>0.0</v>
      </c>
      <c r="F51" s="53">
        <v>0.0</v>
      </c>
      <c r="G51" s="53">
        <v>0.0</v>
      </c>
      <c r="H51" s="53">
        <v>0.0</v>
      </c>
      <c r="I51" s="53">
        <v>0.0</v>
      </c>
      <c r="J51" s="53">
        <v>0.0</v>
      </c>
      <c r="K51" s="53">
        <v>0.0</v>
      </c>
      <c r="L51" s="53">
        <v>0.0</v>
      </c>
      <c r="M51" s="53">
        <v>0.0</v>
      </c>
      <c r="N51" s="53">
        <v>0.0</v>
      </c>
      <c r="O51" s="53">
        <v>0.0</v>
      </c>
      <c r="P51" s="53">
        <v>0.0</v>
      </c>
      <c r="Q51" s="53">
        <v>0.0</v>
      </c>
      <c r="R51" s="53">
        <v>-1530.33</v>
      </c>
      <c r="S51" s="53">
        <v>0.0</v>
      </c>
      <c r="T51" s="53">
        <v>0.0</v>
      </c>
      <c r="U51" s="53">
        <v>0.0</v>
      </c>
      <c r="V51" s="41"/>
      <c r="W51" s="41"/>
      <c r="X51" s="41"/>
      <c r="Y51" s="41"/>
      <c r="Z51" s="41"/>
      <c r="AA51" s="41"/>
      <c r="AB51" s="41"/>
    </row>
    <row r="52" ht="15.75" customHeight="1">
      <c r="A52" s="49" t="s">
        <v>174</v>
      </c>
      <c r="B52" s="50" t="s">
        <v>175</v>
      </c>
      <c r="C52" s="51">
        <f t="shared" ref="C52:U52" si="17">C46+C48</f>
        <v>-86</v>
      </c>
      <c r="D52" s="51">
        <f t="shared" si="17"/>
        <v>1447</v>
      </c>
      <c r="E52" s="51">
        <f t="shared" si="17"/>
        <v>2068</v>
      </c>
      <c r="F52" s="51">
        <f t="shared" si="17"/>
        <v>273</v>
      </c>
      <c r="G52" s="51">
        <f t="shared" si="17"/>
        <v>1289</v>
      </c>
      <c r="H52" s="51">
        <f t="shared" si="17"/>
        <v>3493</v>
      </c>
      <c r="I52" s="51">
        <f t="shared" si="17"/>
        <v>4734</v>
      </c>
      <c r="J52" s="51">
        <f t="shared" si="17"/>
        <v>690</v>
      </c>
      <c r="K52" s="51">
        <f t="shared" si="17"/>
        <v>-16733</v>
      </c>
      <c r="L52" s="51">
        <f t="shared" si="17"/>
        <v>3702</v>
      </c>
      <c r="M52" s="51">
        <f t="shared" si="17"/>
        <v>7258</v>
      </c>
      <c r="N52" s="51">
        <f t="shared" si="17"/>
        <v>-37753</v>
      </c>
      <c r="O52" s="51">
        <f t="shared" si="17"/>
        <v>9476</v>
      </c>
      <c r="P52" s="51">
        <f t="shared" si="17"/>
        <v>-2699</v>
      </c>
      <c r="Q52" s="51">
        <f t="shared" si="17"/>
        <v>16708</v>
      </c>
      <c r="R52" s="51">
        <f t="shared" si="17"/>
        <v>-3198</v>
      </c>
      <c r="S52" s="51">
        <f t="shared" si="17"/>
        <v>17792</v>
      </c>
      <c r="T52" s="51">
        <f t="shared" si="17"/>
        <v>9378</v>
      </c>
      <c r="U52" s="51">
        <f t="shared" si="17"/>
        <v>19722</v>
      </c>
      <c r="V52" s="41"/>
      <c r="W52" s="41"/>
      <c r="X52" s="41"/>
      <c r="Y52" s="41"/>
      <c r="Z52" s="41"/>
      <c r="AA52" s="41"/>
      <c r="AB52" s="41"/>
    </row>
    <row r="53" ht="15.75" customHeight="1">
      <c r="A53" s="54" t="s">
        <v>176</v>
      </c>
      <c r="B53" s="54" t="s">
        <v>177</v>
      </c>
      <c r="C53" s="55">
        <f t="shared" ref="C53:U53" si="18">C52/C$34</f>
        <v>-0.1339563863</v>
      </c>
      <c r="D53" s="55">
        <f t="shared" si="18"/>
        <v>0.07497797813</v>
      </c>
      <c r="E53" s="55">
        <f t="shared" si="18"/>
        <v>0.03524018881</v>
      </c>
      <c r="F53" s="55">
        <f t="shared" si="18"/>
        <v>0.004284234644</v>
      </c>
      <c r="G53" s="55">
        <f t="shared" si="18"/>
        <v>0.01942874369</v>
      </c>
      <c r="H53" s="55">
        <f t="shared" si="18"/>
        <v>0.04879718365</v>
      </c>
      <c r="I53" s="55">
        <f t="shared" si="18"/>
        <v>0.06038496371</v>
      </c>
      <c r="J53" s="55">
        <f t="shared" si="18"/>
        <v>0.008191758379</v>
      </c>
      <c r="K53" s="55">
        <f t="shared" si="18"/>
        <v>-0.1900116962</v>
      </c>
      <c r="L53" s="55">
        <f t="shared" si="18"/>
        <v>0.03774354373</v>
      </c>
      <c r="M53" s="55">
        <f t="shared" si="18"/>
        <v>0.06469439963</v>
      </c>
      <c r="N53" s="55">
        <f t="shared" si="18"/>
        <v>-0.3111416963</v>
      </c>
      <c r="O53" s="55">
        <f t="shared" si="18"/>
        <v>0.07429068701</v>
      </c>
      <c r="P53" s="55">
        <f t="shared" si="18"/>
        <v>-0.0201952935</v>
      </c>
      <c r="Q53" s="55">
        <f t="shared" si="18"/>
        <v>0.1190919135</v>
      </c>
      <c r="R53" s="55">
        <f t="shared" si="18"/>
        <v>-0.02192423183</v>
      </c>
      <c r="S53" s="55">
        <f t="shared" si="18"/>
        <v>0.119516881</v>
      </c>
      <c r="T53" s="55">
        <f t="shared" si="18"/>
        <v>0.06014777188</v>
      </c>
      <c r="U53" s="55">
        <f t="shared" si="18"/>
        <v>0.1218535681</v>
      </c>
      <c r="V53" s="41"/>
      <c r="W53" s="41"/>
      <c r="X53" s="41"/>
      <c r="Y53" s="41"/>
      <c r="Z53" s="41"/>
      <c r="AA53" s="41"/>
      <c r="AB53" s="41"/>
    </row>
    <row r="54" ht="15.75" customHeight="1">
      <c r="A54" s="41"/>
      <c r="B54" s="52"/>
      <c r="C54" s="40"/>
      <c r="D54" s="40"/>
      <c r="E54" s="40"/>
      <c r="F54" s="40"/>
      <c r="G54" s="40"/>
      <c r="H54" s="40"/>
      <c r="I54" s="40"/>
      <c r="J54" s="40"/>
      <c r="K54" s="40"/>
      <c r="L54" s="40"/>
      <c r="M54" s="40"/>
      <c r="N54" s="40"/>
      <c r="O54" s="40"/>
      <c r="P54" s="40"/>
      <c r="Q54" s="40"/>
      <c r="R54" s="40"/>
      <c r="S54" s="40"/>
      <c r="T54" s="40"/>
      <c r="U54" s="40"/>
      <c r="V54" s="41"/>
      <c r="W54" s="41"/>
      <c r="X54" s="41"/>
      <c r="Y54" s="41"/>
      <c r="Z54" s="41"/>
      <c r="AA54" s="41"/>
      <c r="AB54" s="41"/>
    </row>
    <row r="55" ht="15.75" customHeight="1">
      <c r="A55" s="41"/>
      <c r="B55" s="52"/>
      <c r="C55" s="53"/>
      <c r="D55" s="53"/>
      <c r="E55" s="53"/>
      <c r="F55" s="53"/>
      <c r="G55" s="53"/>
      <c r="H55" s="53"/>
      <c r="I55" s="53"/>
      <c r="J55" s="53"/>
      <c r="K55" s="53"/>
      <c r="L55" s="53"/>
      <c r="M55" s="53"/>
      <c r="N55" s="53"/>
      <c r="O55" s="53"/>
      <c r="P55" s="53"/>
      <c r="Q55" s="53"/>
      <c r="R55" s="53"/>
      <c r="S55" s="53"/>
      <c r="T55" s="53"/>
      <c r="U55" s="53"/>
      <c r="V55" s="41"/>
      <c r="W55" s="41"/>
      <c r="X55" s="41"/>
      <c r="Y55" s="41"/>
      <c r="Z55" s="41"/>
      <c r="AA55" s="41"/>
      <c r="AB55" s="41"/>
    </row>
    <row r="56" ht="15.75" customHeight="1">
      <c r="A56" s="41"/>
      <c r="B56" s="52"/>
      <c r="C56" s="40"/>
      <c r="D56" s="40"/>
      <c r="E56" s="40"/>
      <c r="F56" s="40"/>
      <c r="G56" s="40"/>
      <c r="H56" s="40"/>
      <c r="I56" s="40"/>
      <c r="J56" s="40"/>
      <c r="K56" s="40"/>
      <c r="L56" s="40"/>
      <c r="M56" s="40"/>
      <c r="N56" s="40"/>
      <c r="O56" s="40"/>
      <c r="P56" s="40"/>
      <c r="Q56" s="40"/>
      <c r="R56" s="40"/>
      <c r="S56" s="40"/>
      <c r="T56" s="40"/>
      <c r="U56" s="40"/>
      <c r="V56" s="41"/>
      <c r="W56" s="41"/>
      <c r="X56" s="41"/>
      <c r="Y56" s="41"/>
      <c r="Z56" s="41"/>
      <c r="AA56" s="41"/>
      <c r="AB56" s="41"/>
    </row>
    <row r="57" ht="15.75" customHeight="1">
      <c r="A57" s="64" t="s">
        <v>178</v>
      </c>
      <c r="B57" s="65" t="s">
        <v>179</v>
      </c>
      <c r="C57" s="66"/>
      <c r="D57" s="66"/>
      <c r="E57" s="66"/>
      <c r="F57" s="66"/>
      <c r="G57" s="66"/>
      <c r="H57" s="66"/>
      <c r="I57" s="66"/>
      <c r="J57" s="66"/>
      <c r="K57" s="66"/>
      <c r="L57" s="66"/>
      <c r="M57" s="66"/>
      <c r="N57" s="66"/>
      <c r="O57" s="66"/>
      <c r="P57" s="66"/>
      <c r="Q57" s="66"/>
      <c r="R57" s="66"/>
      <c r="S57" s="66"/>
      <c r="T57" s="66"/>
      <c r="U57" s="66"/>
      <c r="V57" s="41"/>
      <c r="W57" s="41"/>
      <c r="X57" s="41"/>
      <c r="Y57" s="41"/>
      <c r="Z57" s="41"/>
      <c r="AA57" s="41"/>
      <c r="AB57" s="41"/>
    </row>
    <row r="58" ht="15.75" customHeight="1">
      <c r="A58" s="49" t="s">
        <v>107</v>
      </c>
      <c r="B58" s="50" t="s">
        <v>108</v>
      </c>
      <c r="C58" s="51">
        <v>664642.0</v>
      </c>
      <c r="D58" s="51">
        <v>702431.0</v>
      </c>
      <c r="E58" s="51">
        <v>781381.0</v>
      </c>
      <c r="F58" s="51">
        <v>828857.0</v>
      </c>
      <c r="G58" s="51">
        <v>885804.0</v>
      </c>
      <c r="H58" s="51">
        <v>902553.0</v>
      </c>
      <c r="I58" s="51">
        <v>961920.0</v>
      </c>
      <c r="J58" s="51">
        <v>992563.0</v>
      </c>
      <c r="K58" s="51">
        <v>1045189.0</v>
      </c>
      <c r="L58" s="51">
        <v>1068158.0</v>
      </c>
      <c r="M58" s="51">
        <v>1132831.0</v>
      </c>
      <c r="N58" s="51">
        <v>1166832.0</v>
      </c>
      <c r="O58" s="51">
        <v>1223785.0</v>
      </c>
      <c r="P58" s="51">
        <v>1270108.0</v>
      </c>
      <c r="Q58" s="51">
        <v>1319846.0</v>
      </c>
      <c r="R58" s="51">
        <v>1372577.0</v>
      </c>
      <c r="S58" s="51">
        <v>1457069.0</v>
      </c>
      <c r="T58" s="51">
        <v>1482473.0</v>
      </c>
      <c r="U58" s="51">
        <v>1555256.0</v>
      </c>
      <c r="V58" s="40"/>
      <c r="W58" s="40"/>
      <c r="X58" s="40"/>
      <c r="Y58" s="40"/>
      <c r="Z58" s="40"/>
      <c r="AA58" s="40"/>
      <c r="AB58" s="40"/>
    </row>
    <row r="59" ht="15.75" customHeight="1">
      <c r="A59" s="56" t="s">
        <v>180</v>
      </c>
      <c r="B59" s="57" t="s">
        <v>181</v>
      </c>
      <c r="C59" s="58">
        <v>479076.0</v>
      </c>
      <c r="D59" s="58">
        <v>501078.0</v>
      </c>
      <c r="E59" s="58">
        <v>561016.0</v>
      </c>
      <c r="F59" s="58">
        <v>591556.0</v>
      </c>
      <c r="G59" s="58">
        <v>648709.0</v>
      </c>
      <c r="H59" s="58">
        <v>656312.0</v>
      </c>
      <c r="I59" s="58">
        <v>698993.0</v>
      </c>
      <c r="J59" s="58">
        <v>721866.0</v>
      </c>
      <c r="K59" s="58">
        <v>771906.0</v>
      </c>
      <c r="L59" s="58">
        <v>784834.0</v>
      </c>
      <c r="M59" s="58">
        <v>825465.0</v>
      </c>
      <c r="N59" s="58">
        <v>846979.0</v>
      </c>
      <c r="O59" s="58">
        <v>892274.0</v>
      </c>
      <c r="P59" s="58">
        <v>914346.0</v>
      </c>
      <c r="Q59" s="58">
        <v>949735.0</v>
      </c>
      <c r="R59" s="58">
        <v>986138.0</v>
      </c>
      <c r="S59" s="58">
        <v>1060863.0</v>
      </c>
      <c r="T59" s="58">
        <v>1065214.0</v>
      </c>
      <c r="U59" s="58">
        <v>1135633.0</v>
      </c>
      <c r="V59" s="41"/>
      <c r="W59" s="41"/>
      <c r="X59" s="41"/>
      <c r="Y59" s="41"/>
      <c r="Z59" s="41"/>
      <c r="AA59" s="41"/>
      <c r="AB59" s="41"/>
    </row>
    <row r="60" ht="15.75" customHeight="1">
      <c r="A60" s="67" t="s">
        <v>182</v>
      </c>
      <c r="B60" s="67" t="s">
        <v>183</v>
      </c>
      <c r="C60" s="68">
        <f t="shared" ref="C60:U60" si="19">C59/C58</f>
        <v>0.720803079</v>
      </c>
      <c r="D60" s="68">
        <f t="shared" si="19"/>
        <v>0.7133483573</v>
      </c>
      <c r="E60" s="68">
        <f t="shared" si="19"/>
        <v>0.7179800891</v>
      </c>
      <c r="F60" s="68">
        <f t="shared" si="19"/>
        <v>0.7137009158</v>
      </c>
      <c r="G60" s="68">
        <f t="shared" si="19"/>
        <v>0.7323392082</v>
      </c>
      <c r="H60" s="68">
        <f t="shared" si="19"/>
        <v>0.7271728087</v>
      </c>
      <c r="I60" s="68">
        <f t="shared" si="19"/>
        <v>0.7266643796</v>
      </c>
      <c r="J60" s="68">
        <f t="shared" si="19"/>
        <v>0.7272747423</v>
      </c>
      <c r="K60" s="68">
        <f t="shared" si="19"/>
        <v>0.7385324568</v>
      </c>
      <c r="L60" s="68">
        <f t="shared" si="19"/>
        <v>0.7347545962</v>
      </c>
      <c r="M60" s="68">
        <f t="shared" si="19"/>
        <v>0.7286744448</v>
      </c>
      <c r="N60" s="68">
        <f t="shared" si="19"/>
        <v>0.7258791326</v>
      </c>
      <c r="O60" s="68">
        <f t="shared" si="19"/>
        <v>0.729110097</v>
      </c>
      <c r="P60" s="68">
        <f t="shared" si="19"/>
        <v>0.7198962608</v>
      </c>
      <c r="Q60" s="68">
        <f t="shared" si="19"/>
        <v>0.7195801631</v>
      </c>
      <c r="R60" s="68">
        <f t="shared" si="19"/>
        <v>0.7184573252</v>
      </c>
      <c r="S60" s="68">
        <f t="shared" si="19"/>
        <v>0.728080139</v>
      </c>
      <c r="T60" s="68">
        <f t="shared" si="19"/>
        <v>0.7185385501</v>
      </c>
      <c r="U60" s="68">
        <f t="shared" si="19"/>
        <v>0.7301903995</v>
      </c>
      <c r="V60" s="41"/>
      <c r="W60" s="41"/>
      <c r="X60" s="41"/>
      <c r="Y60" s="41"/>
      <c r="Z60" s="41"/>
      <c r="AA60" s="41"/>
      <c r="AB60" s="41"/>
    </row>
    <row r="61" ht="15.75" customHeight="1">
      <c r="A61" s="41" t="s">
        <v>123</v>
      </c>
      <c r="B61" s="52" t="s">
        <v>124</v>
      </c>
      <c r="C61" s="53">
        <v>-113064.0</v>
      </c>
      <c r="D61" s="53">
        <v>-123396.0</v>
      </c>
      <c r="E61" s="53">
        <v>-137813.0</v>
      </c>
      <c r="F61" s="53">
        <v>-149806.0</v>
      </c>
      <c r="G61" s="53">
        <v>-157460.0</v>
      </c>
      <c r="H61" s="53">
        <v>-164564.0</v>
      </c>
      <c r="I61" s="53">
        <v>-171907.0</v>
      </c>
      <c r="J61" s="53">
        <v>-184542.0</v>
      </c>
      <c r="K61" s="53">
        <v>-190143.0</v>
      </c>
      <c r="L61" s="53">
        <v>-192597.0</v>
      </c>
      <c r="M61" s="53">
        <v>-196145.0</v>
      </c>
      <c r="N61" s="53">
        <v>-209910.0</v>
      </c>
      <c r="O61" s="53">
        <v>-212165.0</v>
      </c>
      <c r="P61" s="53">
        <v>-216816.0</v>
      </c>
      <c r="Q61" s="53">
        <v>-223031.0</v>
      </c>
      <c r="R61" s="53">
        <v>-232161.0</v>
      </c>
      <c r="S61" s="53">
        <v>-237033.0</v>
      </c>
      <c r="T61" s="53">
        <v>-253951.0</v>
      </c>
      <c r="U61" s="53">
        <v>-266775.0</v>
      </c>
      <c r="V61" s="41"/>
      <c r="W61" s="41"/>
      <c r="X61" s="41"/>
      <c r="Y61" s="41"/>
      <c r="Z61" s="41"/>
      <c r="AA61" s="41"/>
      <c r="AB61" s="41"/>
    </row>
    <row r="62" ht="15.75" customHeight="1">
      <c r="A62" s="41" t="s">
        <v>125</v>
      </c>
      <c r="B62" s="52" t="s">
        <v>95</v>
      </c>
      <c r="C62" s="53">
        <v>-5050.0</v>
      </c>
      <c r="D62" s="53">
        <v>-4808.0</v>
      </c>
      <c r="E62" s="53">
        <v>-8368.0</v>
      </c>
      <c r="F62" s="53">
        <v>-2363.0</v>
      </c>
      <c r="G62" s="53">
        <v>-7329.0</v>
      </c>
      <c r="H62" s="53">
        <v>-5859.0</v>
      </c>
      <c r="I62" s="53">
        <v>-8578.0</v>
      </c>
      <c r="J62" s="53">
        <v>-5146.0</v>
      </c>
      <c r="K62" s="53">
        <v>-7627.0</v>
      </c>
      <c r="L62" s="53">
        <v>-10138.0</v>
      </c>
      <c r="M62" s="53">
        <v>-10228.0</v>
      </c>
      <c r="N62" s="53">
        <v>-8298.0</v>
      </c>
      <c r="O62" s="53">
        <v>-13237.0</v>
      </c>
      <c r="P62" s="53">
        <v>-16267.0</v>
      </c>
      <c r="Q62" s="53">
        <v>-12872.0</v>
      </c>
      <c r="R62" s="53">
        <v>-16252.0</v>
      </c>
      <c r="S62" s="53">
        <v>-14576.0</v>
      </c>
      <c r="T62" s="53">
        <v>-14038.0</v>
      </c>
      <c r="U62" s="53">
        <v>-14330.0</v>
      </c>
      <c r="V62" s="41"/>
      <c r="W62" s="41"/>
      <c r="X62" s="41"/>
      <c r="Y62" s="41"/>
      <c r="Z62" s="41"/>
      <c r="AA62" s="41"/>
      <c r="AB62" s="41"/>
    </row>
    <row r="63" ht="15.75" customHeight="1">
      <c r="A63" s="41" t="s">
        <v>126</v>
      </c>
      <c r="B63" s="52" t="s">
        <v>127</v>
      </c>
      <c r="C63" s="53">
        <v>-122400.0</v>
      </c>
      <c r="D63" s="53">
        <v>-131657.0</v>
      </c>
      <c r="E63" s="53">
        <v>-155655.0</v>
      </c>
      <c r="F63" s="53">
        <v>-160482.0</v>
      </c>
      <c r="G63" s="53">
        <v>-176650.0</v>
      </c>
      <c r="H63" s="53">
        <v>-180716.0</v>
      </c>
      <c r="I63" s="53">
        <v>-187727.0</v>
      </c>
      <c r="J63" s="53">
        <v>-195154.0</v>
      </c>
      <c r="K63" s="53">
        <v>-213633.0</v>
      </c>
      <c r="L63" s="53">
        <v>-235073.0</v>
      </c>
      <c r="M63" s="53">
        <v>-238667.0</v>
      </c>
      <c r="N63" s="53">
        <v>-263889.0</v>
      </c>
      <c r="O63" s="53">
        <v>-261583.0</v>
      </c>
      <c r="P63" s="53">
        <v>-272349.0</v>
      </c>
      <c r="Q63" s="53">
        <v>-273754.0</v>
      </c>
      <c r="R63" s="53">
        <v>-295292.0</v>
      </c>
      <c r="S63" s="53">
        <v>-306460.0</v>
      </c>
      <c r="T63" s="53">
        <v>-323960.0</v>
      </c>
      <c r="U63" s="53">
        <v>-319577.0</v>
      </c>
      <c r="V63" s="41"/>
      <c r="W63" s="41"/>
      <c r="X63" s="41"/>
      <c r="Y63" s="41"/>
      <c r="Z63" s="41"/>
      <c r="AA63" s="41"/>
      <c r="AB63" s="41"/>
    </row>
    <row r="64" ht="15.75" customHeight="1">
      <c r="A64" s="41" t="s">
        <v>128</v>
      </c>
      <c r="B64" s="52" t="s">
        <v>129</v>
      </c>
      <c r="C64" s="53">
        <v>-55871.0</v>
      </c>
      <c r="D64" s="53">
        <v>-68206.0</v>
      </c>
      <c r="E64" s="53">
        <v>-68281.0</v>
      </c>
      <c r="F64" s="53">
        <v>-70717.0</v>
      </c>
      <c r="G64" s="53">
        <v>-80814.0</v>
      </c>
      <c r="H64" s="53">
        <v>-85491.0</v>
      </c>
      <c r="I64" s="53">
        <v>-91146.0</v>
      </c>
      <c r="J64" s="53">
        <v>-100979.0</v>
      </c>
      <c r="K64" s="53">
        <v>-89160.0</v>
      </c>
      <c r="L64" s="53">
        <v>-91794.0</v>
      </c>
      <c r="M64" s="53">
        <v>-97250.0</v>
      </c>
      <c r="N64" s="53">
        <v>-108455.0</v>
      </c>
      <c r="O64" s="53">
        <v>-108679.0</v>
      </c>
      <c r="P64" s="53">
        <v>-116163.0</v>
      </c>
      <c r="Q64" s="53">
        <v>-111215.0</v>
      </c>
      <c r="R64" s="53">
        <v>-120358.0</v>
      </c>
      <c r="S64" s="53">
        <v>-114835.0</v>
      </c>
      <c r="T64" s="53">
        <v>-117087.0</v>
      </c>
      <c r="U64" s="53">
        <v>-131935.0</v>
      </c>
      <c r="V64" s="41"/>
      <c r="W64" s="41"/>
      <c r="X64" s="41"/>
      <c r="Y64" s="41"/>
      <c r="Z64" s="41"/>
      <c r="AA64" s="41"/>
      <c r="AB64" s="41"/>
    </row>
    <row r="65" ht="15.75" customHeight="1">
      <c r="A65" s="41" t="s">
        <v>130</v>
      </c>
      <c r="B65" s="52" t="s">
        <v>131</v>
      </c>
      <c r="C65" s="53">
        <v>-9086.0</v>
      </c>
      <c r="D65" s="53">
        <v>-4803.0</v>
      </c>
      <c r="E65" s="53">
        <v>-10615.0</v>
      </c>
      <c r="F65" s="53">
        <v>-7330.0</v>
      </c>
      <c r="G65" s="53">
        <v>-10936.0</v>
      </c>
      <c r="H65" s="53">
        <v>-2690.0</v>
      </c>
      <c r="I65" s="53">
        <v>-5498.0</v>
      </c>
      <c r="J65" s="53">
        <v>-12870.0</v>
      </c>
      <c r="K65" s="53">
        <v>-175.0</v>
      </c>
      <c r="L65" s="53">
        <v>-7118.0</v>
      </c>
      <c r="M65" s="53">
        <v>-3479.0</v>
      </c>
      <c r="N65" s="53">
        <v>-11829.0</v>
      </c>
      <c r="O65" s="53">
        <v>-337.0</v>
      </c>
      <c r="P65" s="53">
        <v>-6042.0</v>
      </c>
      <c r="Q65" s="53">
        <v>-4536.0</v>
      </c>
      <c r="R65" s="53">
        <v>-9903.0</v>
      </c>
      <c r="S65" s="53">
        <v>-13470.0</v>
      </c>
      <c r="T65" s="53">
        <v>-2128.0</v>
      </c>
      <c r="U65" s="53">
        <v>-8716.0</v>
      </c>
      <c r="V65" s="41"/>
      <c r="W65" s="41"/>
      <c r="X65" s="41"/>
      <c r="Y65" s="41"/>
      <c r="Z65" s="41"/>
      <c r="AA65" s="41"/>
      <c r="AB65" s="41"/>
    </row>
    <row r="66" ht="15.75" customHeight="1">
      <c r="A66" s="41" t="s">
        <v>184</v>
      </c>
      <c r="B66" s="52" t="s">
        <v>185</v>
      </c>
      <c r="C66" s="53">
        <v>-44130.0</v>
      </c>
      <c r="D66" s="53">
        <v>-44534.0</v>
      </c>
      <c r="E66" s="53">
        <v>-55609.0</v>
      </c>
      <c r="F66" s="53">
        <v>-54911.0</v>
      </c>
      <c r="G66" s="53">
        <v>-57110.0</v>
      </c>
      <c r="H66" s="53">
        <v>-58116.0</v>
      </c>
      <c r="I66" s="53">
        <v>-59635.0</v>
      </c>
      <c r="J66" s="53">
        <v>-61268.0</v>
      </c>
      <c r="K66" s="53">
        <v>-62053.0</v>
      </c>
      <c r="L66" s="53">
        <v>-75709.0</v>
      </c>
      <c r="M66" s="53">
        <v>-71456.0</v>
      </c>
      <c r="N66" s="53">
        <v>-73249.0</v>
      </c>
      <c r="O66" s="53">
        <v>-73375.0</v>
      </c>
      <c r="P66" s="53">
        <v>-84260.0</v>
      </c>
      <c r="Q66" s="53">
        <v>-86773.0</v>
      </c>
      <c r="R66" s="53">
        <v>-81498.0</v>
      </c>
      <c r="S66" s="53">
        <v>-85427.0</v>
      </c>
      <c r="T66" s="53">
        <v>-88969.0</v>
      </c>
      <c r="U66" s="53">
        <v>-93714.0</v>
      </c>
      <c r="V66" s="41"/>
      <c r="W66" s="41"/>
      <c r="X66" s="41"/>
      <c r="Y66" s="41"/>
      <c r="Z66" s="41"/>
      <c r="AA66" s="41"/>
      <c r="AB66" s="41"/>
    </row>
    <row r="67" ht="15.75" customHeight="1">
      <c r="A67" s="41" t="s">
        <v>132</v>
      </c>
      <c r="B67" s="52" t="s">
        <v>133</v>
      </c>
      <c r="C67" s="53">
        <v>1381.0</v>
      </c>
      <c r="D67" s="53">
        <v>11875.0</v>
      </c>
      <c r="E67" s="53">
        <v>4028.0</v>
      </c>
      <c r="F67" s="53">
        <v>-6800.0</v>
      </c>
      <c r="G67" s="53">
        <v>-25245.0</v>
      </c>
      <c r="H67" s="53">
        <v>17524.0</v>
      </c>
      <c r="I67" s="53">
        <v>572.0</v>
      </c>
      <c r="J67" s="53">
        <v>-5029.0</v>
      </c>
      <c r="K67" s="53">
        <v>-21502.0</v>
      </c>
      <c r="L67" s="53">
        <v>-4800.0</v>
      </c>
      <c r="M67" s="53">
        <v>-6227.0</v>
      </c>
      <c r="N67" s="53">
        <v>-33553.0</v>
      </c>
      <c r="O67" s="53">
        <v>-5536.0</v>
      </c>
      <c r="P67" s="53">
        <v>-7734.0</v>
      </c>
      <c r="Q67" s="53">
        <v>10747.0</v>
      </c>
      <c r="R67" s="53">
        <v>-14812.0</v>
      </c>
      <c r="S67" s="53">
        <v>-14128.0</v>
      </c>
      <c r="T67" s="53">
        <v>-3237.0</v>
      </c>
      <c r="U67" s="53">
        <v>3716.0</v>
      </c>
      <c r="V67" s="41"/>
      <c r="W67" s="41"/>
      <c r="X67" s="41"/>
      <c r="Y67" s="41"/>
      <c r="Z67" s="41"/>
      <c r="AA67" s="41"/>
      <c r="AB67" s="41"/>
    </row>
    <row r="68" ht="15.75" customHeight="1">
      <c r="A68" s="41" t="s">
        <v>186</v>
      </c>
      <c r="B68" s="52" t="s">
        <v>187</v>
      </c>
      <c r="C68" s="53">
        <v>0.0</v>
      </c>
      <c r="D68" s="53">
        <v>-564.0</v>
      </c>
      <c r="E68" s="53">
        <v>38.0</v>
      </c>
      <c r="F68" s="53">
        <v>0.0</v>
      </c>
      <c r="G68" s="53">
        <v>7.0</v>
      </c>
      <c r="H68" s="53">
        <v>0.0</v>
      </c>
      <c r="I68" s="53">
        <v>0.0</v>
      </c>
      <c r="J68" s="53">
        <v>-449.0</v>
      </c>
      <c r="K68" s="53">
        <v>0.0</v>
      </c>
      <c r="L68" s="53">
        <v>0.0</v>
      </c>
      <c r="M68" s="53">
        <v>4402.0</v>
      </c>
      <c r="N68" s="53">
        <v>-1207.0</v>
      </c>
      <c r="O68" s="53">
        <v>-4261.0</v>
      </c>
      <c r="P68" s="53">
        <v>-3561.0</v>
      </c>
      <c r="Q68" s="53">
        <v>2058.0</v>
      </c>
      <c r="R68" s="53">
        <v>4193.0</v>
      </c>
      <c r="S68" s="53">
        <v>2974.0</v>
      </c>
      <c r="T68" s="53">
        <v>154.0</v>
      </c>
      <c r="U68" s="53">
        <v>7401.0</v>
      </c>
      <c r="V68" s="41"/>
      <c r="W68" s="41"/>
      <c r="X68" s="41"/>
      <c r="Y68" s="41"/>
      <c r="Z68" s="41"/>
      <c r="AA68" s="41"/>
      <c r="AB68" s="41"/>
    </row>
    <row r="69" ht="15.75" customHeight="1">
      <c r="A69" s="41"/>
      <c r="B69" s="52"/>
      <c r="C69" s="53"/>
      <c r="D69" s="53"/>
      <c r="E69" s="53"/>
      <c r="F69" s="53"/>
      <c r="G69" s="53"/>
      <c r="H69" s="53"/>
      <c r="I69" s="53"/>
      <c r="J69" s="53"/>
      <c r="K69" s="53"/>
      <c r="L69" s="53"/>
      <c r="M69" s="53"/>
      <c r="N69" s="53"/>
      <c r="O69" s="53"/>
      <c r="P69" s="53"/>
      <c r="Q69" s="53"/>
      <c r="R69" s="53"/>
      <c r="S69" s="53"/>
      <c r="T69" s="53"/>
      <c r="U69" s="53"/>
      <c r="V69" s="41"/>
      <c r="W69" s="41"/>
      <c r="X69" s="41"/>
      <c r="Y69" s="41"/>
      <c r="Z69" s="41"/>
      <c r="AA69" s="41"/>
      <c r="AB69" s="41"/>
    </row>
    <row r="70" ht="15.75" customHeight="1">
      <c r="A70" s="56" t="s">
        <v>188</v>
      </c>
      <c r="B70" s="57" t="s">
        <v>189</v>
      </c>
      <c r="C70" s="58">
        <f t="shared" ref="C70:U70" si="20">C59+SUM(C61:C68)</f>
        <v>130856</v>
      </c>
      <c r="D70" s="58">
        <f t="shared" si="20"/>
        <v>134985</v>
      </c>
      <c r="E70" s="58">
        <f t="shared" si="20"/>
        <v>128741</v>
      </c>
      <c r="F70" s="58">
        <f t="shared" si="20"/>
        <v>139147</v>
      </c>
      <c r="G70" s="58">
        <f t="shared" si="20"/>
        <v>133172</v>
      </c>
      <c r="H70" s="58">
        <f t="shared" si="20"/>
        <v>176400</v>
      </c>
      <c r="I70" s="58">
        <f t="shared" si="20"/>
        <v>175074</v>
      </c>
      <c r="J70" s="58">
        <f t="shared" si="20"/>
        <v>156429</v>
      </c>
      <c r="K70" s="58">
        <f t="shared" si="20"/>
        <v>187613</v>
      </c>
      <c r="L70" s="58">
        <f t="shared" si="20"/>
        <v>167605</v>
      </c>
      <c r="M70" s="58">
        <f t="shared" si="20"/>
        <v>206415</v>
      </c>
      <c r="N70" s="58">
        <f t="shared" si="20"/>
        <v>136589</v>
      </c>
      <c r="O70" s="58">
        <f t="shared" si="20"/>
        <v>213101</v>
      </c>
      <c r="P70" s="58">
        <f t="shared" si="20"/>
        <v>191154</v>
      </c>
      <c r="Q70" s="58">
        <f t="shared" si="20"/>
        <v>250359</v>
      </c>
      <c r="R70" s="58">
        <f t="shared" si="20"/>
        <v>220055</v>
      </c>
      <c r="S70" s="58">
        <f t="shared" si="20"/>
        <v>277908</v>
      </c>
      <c r="T70" s="58">
        <f t="shared" si="20"/>
        <v>261998</v>
      </c>
      <c r="U70" s="58">
        <f t="shared" si="20"/>
        <v>311703</v>
      </c>
      <c r="V70" s="41"/>
      <c r="W70" s="41"/>
      <c r="X70" s="41"/>
      <c r="Y70" s="41"/>
      <c r="Z70" s="41"/>
      <c r="AA70" s="41"/>
      <c r="AB70" s="41"/>
    </row>
    <row r="71" ht="15.75" customHeight="1">
      <c r="A71" s="56"/>
      <c r="B71" s="57"/>
      <c r="C71" s="58"/>
      <c r="D71" s="58"/>
      <c r="E71" s="58"/>
      <c r="F71" s="58"/>
      <c r="G71" s="58"/>
      <c r="H71" s="58"/>
      <c r="I71" s="58"/>
      <c r="J71" s="58"/>
      <c r="K71" s="58"/>
      <c r="L71" s="58"/>
      <c r="M71" s="58"/>
      <c r="N71" s="58"/>
      <c r="O71" s="58"/>
      <c r="P71" s="58"/>
      <c r="Q71" s="58"/>
      <c r="R71" s="58"/>
      <c r="S71" s="58"/>
      <c r="T71" s="58"/>
      <c r="U71" s="58"/>
      <c r="V71" s="41"/>
      <c r="W71" s="41"/>
      <c r="X71" s="41"/>
      <c r="Y71" s="41"/>
      <c r="Z71" s="41"/>
      <c r="AA71" s="41"/>
      <c r="AB71" s="41"/>
    </row>
    <row r="72" ht="15.75" customHeight="1">
      <c r="A72" s="56" t="s">
        <v>190</v>
      </c>
      <c r="B72" s="57" t="s">
        <v>191</v>
      </c>
      <c r="C72" s="58">
        <f t="shared" ref="C72:U72" si="21">C73+C74</f>
        <v>-8351</v>
      </c>
      <c r="D72" s="58">
        <f t="shared" si="21"/>
        <v>-13323</v>
      </c>
      <c r="E72" s="58">
        <f t="shared" si="21"/>
        <v>-34046</v>
      </c>
      <c r="F72" s="58">
        <f t="shared" si="21"/>
        <v>1516</v>
      </c>
      <c r="G72" s="58">
        <f t="shared" si="21"/>
        <v>-702</v>
      </c>
      <c r="H72" s="58">
        <f t="shared" si="21"/>
        <v>13481</v>
      </c>
      <c r="I72" s="58">
        <f t="shared" si="21"/>
        <v>2809</v>
      </c>
      <c r="J72" s="58">
        <f t="shared" si="21"/>
        <v>4932</v>
      </c>
      <c r="K72" s="58">
        <f t="shared" si="21"/>
        <v>-20631</v>
      </c>
      <c r="L72" s="58">
        <f t="shared" si="21"/>
        <v>-3702</v>
      </c>
      <c r="M72" s="58">
        <f t="shared" si="21"/>
        <v>7979</v>
      </c>
      <c r="N72" s="58">
        <f t="shared" si="21"/>
        <v>-1190</v>
      </c>
      <c r="O72" s="58">
        <f t="shared" si="21"/>
        <v>-4695</v>
      </c>
      <c r="P72" s="58">
        <f t="shared" si="21"/>
        <v>-9644</v>
      </c>
      <c r="Q72" s="58">
        <f t="shared" si="21"/>
        <v>-19821</v>
      </c>
      <c r="R72" s="58">
        <f t="shared" si="21"/>
        <v>-15256</v>
      </c>
      <c r="S72" s="58">
        <f t="shared" si="21"/>
        <v>-19352</v>
      </c>
      <c r="T72" s="58">
        <f t="shared" si="21"/>
        <v>-19131</v>
      </c>
      <c r="U72" s="58">
        <f t="shared" si="21"/>
        <v>-1014</v>
      </c>
      <c r="V72" s="41"/>
      <c r="W72" s="41"/>
      <c r="X72" s="41"/>
      <c r="Y72" s="41"/>
      <c r="Z72" s="41"/>
      <c r="AA72" s="41"/>
      <c r="AB72" s="41"/>
    </row>
    <row r="73" ht="15.75" customHeight="1">
      <c r="A73" s="41" t="s">
        <v>192</v>
      </c>
      <c r="B73" s="52" t="s">
        <v>193</v>
      </c>
      <c r="C73" s="53">
        <v>7805.0</v>
      </c>
      <c r="D73" s="53">
        <v>12157.0</v>
      </c>
      <c r="E73" s="53">
        <v>13297.0</v>
      </c>
      <c r="F73" s="53">
        <v>57984.0</v>
      </c>
      <c r="G73" s="53">
        <v>77850.0</v>
      </c>
      <c r="H73" s="53">
        <v>98694.0</v>
      </c>
      <c r="I73" s="53">
        <v>92824.0</v>
      </c>
      <c r="J73" s="53">
        <v>92644.0</v>
      </c>
      <c r="K73" s="53">
        <v>71435.0</v>
      </c>
      <c r="L73" s="53">
        <v>87329.0</v>
      </c>
      <c r="M73" s="53">
        <v>104463.0</v>
      </c>
      <c r="N73" s="53">
        <v>92271.0</v>
      </c>
      <c r="O73" s="53">
        <v>88933.0</v>
      </c>
      <c r="P73" s="53">
        <v>67867.0</v>
      </c>
      <c r="Q73" s="53">
        <v>67291.0</v>
      </c>
      <c r="R73" s="53">
        <v>54023.0</v>
      </c>
      <c r="S73" s="53">
        <v>65700.0</v>
      </c>
      <c r="T73" s="53">
        <v>73759.0</v>
      </c>
      <c r="U73" s="53">
        <v>95863.0</v>
      </c>
      <c r="V73" s="41"/>
      <c r="W73" s="41"/>
      <c r="X73" s="41"/>
      <c r="Y73" s="41"/>
      <c r="Z73" s="41"/>
      <c r="AA73" s="41"/>
      <c r="AB73" s="41"/>
    </row>
    <row r="74" ht="15.75" customHeight="1">
      <c r="A74" s="41" t="s">
        <v>194</v>
      </c>
      <c r="B74" s="52" t="s">
        <v>195</v>
      </c>
      <c r="C74" s="53">
        <v>-16156.0</v>
      </c>
      <c r="D74" s="53">
        <v>-25480.0</v>
      </c>
      <c r="E74" s="53">
        <v>-47343.0</v>
      </c>
      <c r="F74" s="53">
        <v>-56468.0</v>
      </c>
      <c r="G74" s="53">
        <v>-78552.0</v>
      </c>
      <c r="H74" s="53">
        <v>-85213.0</v>
      </c>
      <c r="I74" s="53">
        <v>-90015.0</v>
      </c>
      <c r="J74" s="53">
        <v>-87712.0</v>
      </c>
      <c r="K74" s="53">
        <v>-92066.0</v>
      </c>
      <c r="L74" s="53">
        <v>-91031.0</v>
      </c>
      <c r="M74" s="53">
        <v>-96484.0</v>
      </c>
      <c r="N74" s="53">
        <v>-93461.0</v>
      </c>
      <c r="O74" s="53">
        <v>-93628.0</v>
      </c>
      <c r="P74" s="53">
        <v>-77511.0</v>
      </c>
      <c r="Q74" s="53">
        <v>-87112.0</v>
      </c>
      <c r="R74" s="53">
        <v>-69279.0</v>
      </c>
      <c r="S74" s="53">
        <v>-85052.0</v>
      </c>
      <c r="T74" s="53">
        <v>-92890.0</v>
      </c>
      <c r="U74" s="53">
        <v>-96877.0</v>
      </c>
      <c r="V74" s="41"/>
      <c r="W74" s="41"/>
      <c r="X74" s="41"/>
      <c r="Y74" s="41"/>
      <c r="Z74" s="41"/>
      <c r="AA74" s="41"/>
      <c r="AB74" s="41"/>
    </row>
    <row r="75" ht="15.75" customHeight="1">
      <c r="A75" s="41"/>
      <c r="B75" s="52"/>
      <c r="C75" s="53"/>
      <c r="D75" s="53"/>
      <c r="E75" s="53"/>
      <c r="F75" s="53"/>
      <c r="G75" s="53"/>
      <c r="H75" s="53"/>
      <c r="I75" s="53"/>
      <c r="J75" s="53"/>
      <c r="K75" s="53"/>
      <c r="L75" s="53"/>
      <c r="M75" s="53"/>
      <c r="N75" s="53"/>
      <c r="O75" s="53"/>
      <c r="P75" s="53"/>
      <c r="Q75" s="53"/>
      <c r="R75" s="53"/>
      <c r="S75" s="53"/>
      <c r="T75" s="53"/>
      <c r="U75" s="53"/>
      <c r="V75" s="41"/>
      <c r="W75" s="41"/>
      <c r="X75" s="41"/>
      <c r="Y75" s="41"/>
      <c r="Z75" s="41"/>
      <c r="AA75" s="41"/>
      <c r="AB75" s="41"/>
    </row>
    <row r="76" ht="15.75" customHeight="1">
      <c r="A76" s="41" t="s">
        <v>196</v>
      </c>
      <c r="B76" s="52" t="s">
        <v>197</v>
      </c>
      <c r="C76" s="53">
        <f t="shared" ref="C76:U76" si="22">C70+C72</f>
        <v>122505</v>
      </c>
      <c r="D76" s="53">
        <f t="shared" si="22"/>
        <v>121662</v>
      </c>
      <c r="E76" s="53">
        <f t="shared" si="22"/>
        <v>94695</v>
      </c>
      <c r="F76" s="53">
        <f t="shared" si="22"/>
        <v>140663</v>
      </c>
      <c r="G76" s="53">
        <f t="shared" si="22"/>
        <v>132470</v>
      </c>
      <c r="H76" s="53">
        <f t="shared" si="22"/>
        <v>189881</v>
      </c>
      <c r="I76" s="53">
        <f t="shared" si="22"/>
        <v>177883</v>
      </c>
      <c r="J76" s="53">
        <f t="shared" si="22"/>
        <v>161361</v>
      </c>
      <c r="K76" s="53">
        <f t="shared" si="22"/>
        <v>166982</v>
      </c>
      <c r="L76" s="53">
        <f t="shared" si="22"/>
        <v>163903</v>
      </c>
      <c r="M76" s="53">
        <f t="shared" si="22"/>
        <v>214394</v>
      </c>
      <c r="N76" s="53">
        <f t="shared" si="22"/>
        <v>135399</v>
      </c>
      <c r="O76" s="53">
        <f t="shared" si="22"/>
        <v>208406</v>
      </c>
      <c r="P76" s="53">
        <f t="shared" si="22"/>
        <v>181510</v>
      </c>
      <c r="Q76" s="53">
        <f t="shared" si="22"/>
        <v>230538</v>
      </c>
      <c r="R76" s="53">
        <f t="shared" si="22"/>
        <v>204799</v>
      </c>
      <c r="S76" s="53">
        <f t="shared" si="22"/>
        <v>258556</v>
      </c>
      <c r="T76" s="53">
        <f t="shared" si="22"/>
        <v>242867</v>
      </c>
      <c r="U76" s="53">
        <f t="shared" si="22"/>
        <v>310689</v>
      </c>
      <c r="V76" s="41"/>
      <c r="W76" s="41"/>
      <c r="X76" s="41"/>
      <c r="Y76" s="41"/>
      <c r="Z76" s="41"/>
      <c r="AA76" s="41"/>
      <c r="AB76" s="41"/>
    </row>
    <row r="77" ht="15.75" customHeight="1">
      <c r="A77" s="41"/>
      <c r="B77" s="41"/>
      <c r="C77" s="69"/>
      <c r="D77" s="69"/>
      <c r="E77" s="69"/>
      <c r="F77" s="69"/>
      <c r="G77" s="69"/>
      <c r="H77" s="69"/>
      <c r="I77" s="69"/>
      <c r="J77" s="69"/>
      <c r="K77" s="69"/>
      <c r="L77" s="69"/>
      <c r="M77" s="69"/>
      <c r="N77" s="69"/>
      <c r="O77" s="69"/>
      <c r="P77" s="69"/>
      <c r="Q77" s="69"/>
      <c r="R77" s="69"/>
      <c r="S77" s="69"/>
      <c r="T77" s="69"/>
      <c r="U77" s="69"/>
      <c r="V77" s="41"/>
      <c r="W77" s="41"/>
      <c r="X77" s="41"/>
      <c r="Y77" s="41"/>
      <c r="Z77" s="41"/>
      <c r="AA77" s="41"/>
      <c r="AB77" s="41"/>
    </row>
    <row r="78" ht="15.75" customHeight="1">
      <c r="A78" s="56" t="s">
        <v>198</v>
      </c>
      <c r="B78" s="57" t="s">
        <v>199</v>
      </c>
      <c r="C78" s="58">
        <f t="shared" ref="C78:U78" si="23">C79+C80</f>
        <v>-38618</v>
      </c>
      <c r="D78" s="58">
        <f t="shared" si="23"/>
        <v>-36579</v>
      </c>
      <c r="E78" s="58">
        <f t="shared" si="23"/>
        <v>1654</v>
      </c>
      <c r="F78" s="58">
        <f t="shared" si="23"/>
        <v>-11263</v>
      </c>
      <c r="G78" s="58">
        <f t="shared" si="23"/>
        <v>-36776</v>
      </c>
      <c r="H78" s="58">
        <f t="shared" si="23"/>
        <v>-57087</v>
      </c>
      <c r="I78" s="58">
        <f t="shared" si="23"/>
        <v>-35507</v>
      </c>
      <c r="J78" s="58">
        <f t="shared" si="23"/>
        <v>-11834</v>
      </c>
      <c r="K78" s="58">
        <f t="shared" si="23"/>
        <v>-62854</v>
      </c>
      <c r="L78" s="58">
        <f t="shared" si="23"/>
        <v>-53135</v>
      </c>
      <c r="M78" s="58">
        <f t="shared" si="23"/>
        <v>-21182</v>
      </c>
      <c r="N78" s="58">
        <f t="shared" si="23"/>
        <v>-9100</v>
      </c>
      <c r="O78" s="58">
        <f t="shared" si="23"/>
        <v>-78489</v>
      </c>
      <c r="P78" s="58">
        <f t="shared" si="23"/>
        <v>-61652</v>
      </c>
      <c r="Q78" s="58">
        <f t="shared" si="23"/>
        <v>64751</v>
      </c>
      <c r="R78" s="58">
        <f t="shared" si="23"/>
        <v>-16115</v>
      </c>
      <c r="S78" s="58">
        <f t="shared" si="23"/>
        <v>-58112</v>
      </c>
      <c r="T78" s="58">
        <f t="shared" si="23"/>
        <v>-48080</v>
      </c>
      <c r="U78" s="58">
        <f t="shared" si="23"/>
        <v>-59740</v>
      </c>
      <c r="V78" s="41"/>
      <c r="W78" s="41"/>
      <c r="X78" s="41"/>
      <c r="Y78" s="41"/>
      <c r="Z78" s="41"/>
      <c r="AA78" s="41"/>
      <c r="AB78" s="41"/>
    </row>
    <row r="79" ht="15.75" customHeight="1">
      <c r="A79" s="41" t="s">
        <v>200</v>
      </c>
      <c r="B79" s="52" t="s">
        <v>201</v>
      </c>
      <c r="C79" s="53">
        <v>-47264.0</v>
      </c>
      <c r="D79" s="53">
        <v>-26858.0</v>
      </c>
      <c r="E79" s="53">
        <v>-6902.0</v>
      </c>
      <c r="F79" s="53">
        <v>-23981.0</v>
      </c>
      <c r="G79" s="53">
        <v>-42158.0</v>
      </c>
      <c r="H79" s="53">
        <v>-43068.0</v>
      </c>
      <c r="I79" s="53">
        <v>-27986.0</v>
      </c>
      <c r="J79" s="53">
        <v>-40355.0</v>
      </c>
      <c r="K79" s="53">
        <v>-62675.0</v>
      </c>
      <c r="L79" s="53">
        <v>-53470.0</v>
      </c>
      <c r="M79" s="53">
        <v>-22886.0</v>
      </c>
      <c r="N79" s="53">
        <v>-31727.0</v>
      </c>
      <c r="O79" s="53">
        <v>-66445.0</v>
      </c>
      <c r="P79" s="53">
        <v>-56750.0</v>
      </c>
      <c r="Q79" s="53">
        <v>-28767.0</v>
      </c>
      <c r="R79" s="53">
        <v>-39824.0</v>
      </c>
      <c r="S79" s="53">
        <v>-64210.0</v>
      </c>
      <c r="T79" s="53">
        <v>-32852.0</v>
      </c>
      <c r="U79" s="53">
        <v>-51129.0</v>
      </c>
      <c r="V79" s="41"/>
      <c r="W79" s="41"/>
      <c r="X79" s="41"/>
      <c r="Y79" s="41"/>
      <c r="Z79" s="41"/>
      <c r="AA79" s="41"/>
      <c r="AB79" s="41"/>
    </row>
    <row r="80" ht="15.75" customHeight="1">
      <c r="A80" s="41" t="s">
        <v>202</v>
      </c>
      <c r="B80" s="52" t="s">
        <v>203</v>
      </c>
      <c r="C80" s="53">
        <v>8646.0</v>
      </c>
      <c r="D80" s="53">
        <v>-9721.0</v>
      </c>
      <c r="E80" s="53">
        <v>8556.0</v>
      </c>
      <c r="F80" s="53">
        <v>12718.0</v>
      </c>
      <c r="G80" s="53">
        <v>5382.0</v>
      </c>
      <c r="H80" s="53">
        <v>-14019.0</v>
      </c>
      <c r="I80" s="53">
        <v>-7521.0</v>
      </c>
      <c r="J80" s="53">
        <v>28521.0</v>
      </c>
      <c r="K80" s="53">
        <v>-179.0</v>
      </c>
      <c r="L80" s="53">
        <v>335.0</v>
      </c>
      <c r="M80" s="53">
        <v>1704.0</v>
      </c>
      <c r="N80" s="53">
        <v>22627.0</v>
      </c>
      <c r="O80" s="53">
        <v>-12044.0</v>
      </c>
      <c r="P80" s="53">
        <v>-4902.0</v>
      </c>
      <c r="Q80" s="53">
        <v>93518.0</v>
      </c>
      <c r="R80" s="53">
        <v>23709.0</v>
      </c>
      <c r="S80" s="53">
        <v>6098.0</v>
      </c>
      <c r="T80" s="53">
        <v>-15228.0</v>
      </c>
      <c r="U80" s="53">
        <v>-8611.0</v>
      </c>
      <c r="V80" s="41"/>
      <c r="W80" s="41"/>
      <c r="X80" s="41"/>
      <c r="Y80" s="41"/>
      <c r="Z80" s="41"/>
      <c r="AA80" s="41"/>
      <c r="AB80" s="41"/>
    </row>
    <row r="81" ht="15.75" customHeight="1">
      <c r="A81" s="41"/>
      <c r="B81" s="52"/>
      <c r="C81" s="53"/>
      <c r="D81" s="53"/>
      <c r="E81" s="53"/>
      <c r="F81" s="53"/>
      <c r="G81" s="53"/>
      <c r="H81" s="53"/>
      <c r="I81" s="53"/>
      <c r="J81" s="53"/>
      <c r="K81" s="53"/>
      <c r="L81" s="53"/>
      <c r="M81" s="53"/>
      <c r="N81" s="53"/>
      <c r="O81" s="53"/>
      <c r="P81" s="53"/>
      <c r="Q81" s="53"/>
      <c r="R81" s="53"/>
      <c r="S81" s="53"/>
      <c r="T81" s="53"/>
      <c r="U81" s="53"/>
      <c r="V81" s="41"/>
      <c r="W81" s="41"/>
      <c r="X81" s="41"/>
      <c r="Y81" s="41"/>
      <c r="Z81" s="41"/>
      <c r="AA81" s="41"/>
      <c r="AB81" s="41"/>
    </row>
    <row r="82" ht="15.75" customHeight="1">
      <c r="A82" s="56" t="s">
        <v>204</v>
      </c>
      <c r="B82" s="57" t="s">
        <v>205</v>
      </c>
      <c r="C82" s="58">
        <f t="shared" ref="C82:U82" si="24">C76+C78</f>
        <v>83887</v>
      </c>
      <c r="D82" s="58">
        <f t="shared" si="24"/>
        <v>85083</v>
      </c>
      <c r="E82" s="58">
        <f t="shared" si="24"/>
        <v>96349</v>
      </c>
      <c r="F82" s="58">
        <f t="shared" si="24"/>
        <v>129400</v>
      </c>
      <c r="G82" s="58">
        <f t="shared" si="24"/>
        <v>95694</v>
      </c>
      <c r="H82" s="58">
        <f t="shared" si="24"/>
        <v>132794</v>
      </c>
      <c r="I82" s="58">
        <f t="shared" si="24"/>
        <v>142376</v>
      </c>
      <c r="J82" s="58">
        <f t="shared" si="24"/>
        <v>149527</v>
      </c>
      <c r="K82" s="58">
        <f t="shared" si="24"/>
        <v>104128</v>
      </c>
      <c r="L82" s="58">
        <f t="shared" si="24"/>
        <v>110768</v>
      </c>
      <c r="M82" s="58">
        <f t="shared" si="24"/>
        <v>193212</v>
      </c>
      <c r="N82" s="58">
        <f t="shared" si="24"/>
        <v>126299</v>
      </c>
      <c r="O82" s="58">
        <f t="shared" si="24"/>
        <v>129917</v>
      </c>
      <c r="P82" s="58">
        <f t="shared" si="24"/>
        <v>119858</v>
      </c>
      <c r="Q82" s="58">
        <f t="shared" si="24"/>
        <v>295289</v>
      </c>
      <c r="R82" s="58">
        <f t="shared" si="24"/>
        <v>188684</v>
      </c>
      <c r="S82" s="58">
        <f t="shared" si="24"/>
        <v>200444</v>
      </c>
      <c r="T82" s="58">
        <f t="shared" si="24"/>
        <v>194787</v>
      </c>
      <c r="U82" s="58">
        <f t="shared" si="24"/>
        <v>250949</v>
      </c>
      <c r="V82" s="41"/>
      <c r="W82" s="41"/>
      <c r="X82" s="41"/>
      <c r="Y82" s="41"/>
      <c r="Z82" s="41"/>
      <c r="AA82" s="41"/>
      <c r="AB82" s="41"/>
    </row>
    <row r="83" ht="15.75" customHeight="1">
      <c r="A83" s="41"/>
      <c r="B83" s="57"/>
      <c r="C83" s="58"/>
      <c r="D83" s="58"/>
      <c r="E83" s="58"/>
      <c r="F83" s="58"/>
      <c r="G83" s="58"/>
      <c r="H83" s="58"/>
      <c r="I83" s="58"/>
      <c r="J83" s="58"/>
      <c r="K83" s="58"/>
      <c r="L83" s="58"/>
      <c r="M83" s="58"/>
      <c r="N83" s="58"/>
      <c r="O83" s="58"/>
      <c r="P83" s="58"/>
      <c r="Q83" s="58"/>
      <c r="R83" s="58"/>
      <c r="S83" s="58"/>
      <c r="T83" s="58"/>
      <c r="U83" s="58"/>
      <c r="V83" s="41"/>
      <c r="W83" s="41"/>
      <c r="X83" s="41"/>
      <c r="Y83" s="41"/>
      <c r="Z83" s="41"/>
      <c r="AA83" s="41"/>
      <c r="AB83" s="41"/>
    </row>
    <row r="84" ht="15.75" customHeight="1">
      <c r="A84" s="56" t="s">
        <v>206</v>
      </c>
      <c r="B84" s="57" t="s">
        <v>207</v>
      </c>
      <c r="C84" s="58">
        <v>-3242.0</v>
      </c>
      <c r="D84" s="58">
        <v>-6437.0</v>
      </c>
      <c r="E84" s="58">
        <v>-7432.0</v>
      </c>
      <c r="F84" s="58">
        <v>-3571.0</v>
      </c>
      <c r="G84" s="58">
        <v>-10717.0</v>
      </c>
      <c r="H84" s="58">
        <v>-3653.0</v>
      </c>
      <c r="I84" s="58">
        <v>13392.0</v>
      </c>
      <c r="J84" s="58">
        <v>3888.0</v>
      </c>
      <c r="K84" s="58">
        <v>-5594.0</v>
      </c>
      <c r="L84" s="58">
        <v>-7935.0</v>
      </c>
      <c r="M84" s="58">
        <v>241298.0</v>
      </c>
      <c r="N84" s="58">
        <v>0.0</v>
      </c>
      <c r="O84" s="58">
        <v>-1085.0</v>
      </c>
      <c r="P84" s="58">
        <v>0.0</v>
      </c>
      <c r="Q84" s="58">
        <v>0.0</v>
      </c>
      <c r="R84" s="58">
        <v>0.0</v>
      </c>
      <c r="S84" s="58">
        <v>0.0</v>
      </c>
      <c r="T84" s="58">
        <v>0.0</v>
      </c>
      <c r="U84" s="58">
        <v>0.0</v>
      </c>
      <c r="V84" s="41"/>
      <c r="W84" s="41"/>
      <c r="X84" s="41"/>
      <c r="Y84" s="41"/>
      <c r="Z84" s="41"/>
      <c r="AA84" s="41"/>
      <c r="AB84" s="41"/>
    </row>
    <row r="85" ht="15.75" customHeight="1">
      <c r="A85" s="56" t="s">
        <v>208</v>
      </c>
      <c r="B85" s="57" t="s">
        <v>209</v>
      </c>
      <c r="C85" s="58">
        <v>0.0</v>
      </c>
      <c r="D85" s="58">
        <v>0.0</v>
      </c>
      <c r="E85" s="58">
        <v>0.0</v>
      </c>
      <c r="F85" s="58">
        <v>0.0</v>
      </c>
      <c r="G85" s="58">
        <v>0.0</v>
      </c>
      <c r="H85" s="58">
        <v>0.0</v>
      </c>
      <c r="I85" s="58">
        <v>0.0</v>
      </c>
      <c r="J85" s="58">
        <v>0.0</v>
      </c>
      <c r="K85" s="58">
        <v>0.0</v>
      </c>
      <c r="L85" s="58">
        <v>0.0</v>
      </c>
      <c r="M85" s="58">
        <v>0.0</v>
      </c>
      <c r="N85" s="58">
        <v>0.0</v>
      </c>
      <c r="O85" s="58">
        <v>539.0</v>
      </c>
      <c r="P85" s="58">
        <v>847.0</v>
      </c>
      <c r="Q85" s="58">
        <v>555.0</v>
      </c>
      <c r="R85" s="58">
        <v>839.0</v>
      </c>
      <c r="S85" s="58">
        <v>151.0</v>
      </c>
      <c r="T85" s="58">
        <v>300.0</v>
      </c>
      <c r="U85" s="58">
        <v>593.0</v>
      </c>
      <c r="V85" s="41"/>
      <c r="W85" s="41"/>
      <c r="X85" s="41"/>
      <c r="Y85" s="41"/>
      <c r="Z85" s="41"/>
      <c r="AA85" s="41"/>
      <c r="AB85" s="41"/>
    </row>
    <row r="86" ht="15.75" customHeight="1">
      <c r="A86" s="56"/>
      <c r="B86" s="57"/>
      <c r="C86" s="58"/>
      <c r="D86" s="58"/>
      <c r="E86" s="58"/>
      <c r="F86" s="58"/>
      <c r="G86" s="58"/>
      <c r="H86" s="58"/>
      <c r="I86" s="58"/>
      <c r="J86" s="58"/>
      <c r="K86" s="58"/>
      <c r="L86" s="58"/>
      <c r="M86" s="58"/>
      <c r="N86" s="58"/>
      <c r="O86" s="58"/>
      <c r="P86" s="58"/>
      <c r="Q86" s="58"/>
      <c r="R86" s="58"/>
      <c r="S86" s="58"/>
      <c r="T86" s="58"/>
      <c r="U86" s="58"/>
      <c r="V86" s="41"/>
      <c r="W86" s="41"/>
      <c r="X86" s="41"/>
      <c r="Y86" s="41"/>
      <c r="Z86" s="41"/>
      <c r="AA86" s="41"/>
      <c r="AB86" s="41"/>
    </row>
    <row r="87" ht="15.75" customHeight="1">
      <c r="A87" s="56" t="s">
        <v>210</v>
      </c>
      <c r="B87" s="57" t="s">
        <v>211</v>
      </c>
      <c r="C87" s="58">
        <f t="shared" ref="C87:U87" si="25">C82+C84+C85</f>
        <v>80645</v>
      </c>
      <c r="D87" s="58">
        <f t="shared" si="25"/>
        <v>78646</v>
      </c>
      <c r="E87" s="58">
        <f t="shared" si="25"/>
        <v>88917</v>
      </c>
      <c r="F87" s="58">
        <f t="shared" si="25"/>
        <v>125829</v>
      </c>
      <c r="G87" s="58">
        <f t="shared" si="25"/>
        <v>84977</v>
      </c>
      <c r="H87" s="58">
        <f t="shared" si="25"/>
        <v>129141</v>
      </c>
      <c r="I87" s="58">
        <f t="shared" si="25"/>
        <v>155768</v>
      </c>
      <c r="J87" s="58">
        <f t="shared" si="25"/>
        <v>153415</v>
      </c>
      <c r="K87" s="58">
        <f t="shared" si="25"/>
        <v>98534</v>
      </c>
      <c r="L87" s="58">
        <f t="shared" si="25"/>
        <v>102833</v>
      </c>
      <c r="M87" s="58">
        <f t="shared" si="25"/>
        <v>434510</v>
      </c>
      <c r="N87" s="58">
        <f t="shared" si="25"/>
        <v>126299</v>
      </c>
      <c r="O87" s="58">
        <f t="shared" si="25"/>
        <v>129371</v>
      </c>
      <c r="P87" s="58">
        <f t="shared" si="25"/>
        <v>120705</v>
      </c>
      <c r="Q87" s="58">
        <f t="shared" si="25"/>
        <v>295844</v>
      </c>
      <c r="R87" s="58">
        <f t="shared" si="25"/>
        <v>189523</v>
      </c>
      <c r="S87" s="58">
        <f t="shared" si="25"/>
        <v>200595</v>
      </c>
      <c r="T87" s="58">
        <f t="shared" si="25"/>
        <v>195087</v>
      </c>
      <c r="U87" s="58">
        <f t="shared" si="25"/>
        <v>251542</v>
      </c>
      <c r="V87" s="41"/>
      <c r="W87" s="41"/>
      <c r="X87" s="41"/>
      <c r="Y87" s="41"/>
      <c r="Z87" s="41"/>
      <c r="AA87" s="41"/>
      <c r="AB87" s="41"/>
    </row>
    <row r="88" ht="15.75" customHeight="1">
      <c r="A88" s="41" t="s">
        <v>212</v>
      </c>
      <c r="B88" s="52" t="s">
        <v>213</v>
      </c>
      <c r="C88" s="53">
        <v>0.0</v>
      </c>
      <c r="D88" s="53">
        <v>0.0</v>
      </c>
      <c r="E88" s="53">
        <v>0.0</v>
      </c>
      <c r="F88" s="53">
        <v>-5546.0</v>
      </c>
      <c r="G88" s="53">
        <v>-5522.0</v>
      </c>
      <c r="H88" s="53">
        <v>-6748.0</v>
      </c>
      <c r="I88" s="53">
        <v>-6930.0</v>
      </c>
      <c r="J88" s="53">
        <v>-5965.0</v>
      </c>
      <c r="K88" s="53">
        <v>-5426.0</v>
      </c>
      <c r="L88" s="53">
        <v>-8492.0</v>
      </c>
      <c r="M88" s="53">
        <v>-7043.0</v>
      </c>
      <c r="N88" s="53">
        <v>-8654.0</v>
      </c>
      <c r="O88" s="53">
        <v>-2722.0</v>
      </c>
      <c r="P88" s="53">
        <v>-5833.0</v>
      </c>
      <c r="Q88" s="53">
        <v>-4849.0</v>
      </c>
      <c r="R88" s="53">
        <v>-4526.0</v>
      </c>
      <c r="S88" s="53">
        <v>-5948.0</v>
      </c>
      <c r="T88" s="53">
        <v>-6369.0</v>
      </c>
      <c r="U88" s="53">
        <v>-8233.0</v>
      </c>
      <c r="V88" s="41"/>
      <c r="W88" s="41"/>
      <c r="X88" s="41"/>
      <c r="Y88" s="41"/>
      <c r="Z88" s="41"/>
      <c r="AA88" s="41"/>
      <c r="AB88" s="41"/>
    </row>
    <row r="89" ht="15.75" customHeight="1">
      <c r="A89" s="49" t="s">
        <v>214</v>
      </c>
      <c r="B89" s="50" t="s">
        <v>215</v>
      </c>
      <c r="C89" s="51">
        <f t="shared" ref="C89:U89" si="26">C87+C88</f>
        <v>80645</v>
      </c>
      <c r="D89" s="51">
        <f t="shared" si="26"/>
        <v>78646</v>
      </c>
      <c r="E89" s="51">
        <f t="shared" si="26"/>
        <v>88917</v>
      </c>
      <c r="F89" s="51">
        <f t="shared" si="26"/>
        <v>120283</v>
      </c>
      <c r="G89" s="51">
        <f t="shared" si="26"/>
        <v>79455</v>
      </c>
      <c r="H89" s="51">
        <f t="shared" si="26"/>
        <v>122393</v>
      </c>
      <c r="I89" s="51">
        <f t="shared" si="26"/>
        <v>148838</v>
      </c>
      <c r="J89" s="51">
        <f t="shared" si="26"/>
        <v>147450</v>
      </c>
      <c r="K89" s="51">
        <f t="shared" si="26"/>
        <v>93108</v>
      </c>
      <c r="L89" s="51">
        <f t="shared" si="26"/>
        <v>94341</v>
      </c>
      <c r="M89" s="51">
        <f t="shared" si="26"/>
        <v>427467</v>
      </c>
      <c r="N89" s="51">
        <f t="shared" si="26"/>
        <v>117645</v>
      </c>
      <c r="O89" s="51">
        <f t="shared" si="26"/>
        <v>126649</v>
      </c>
      <c r="P89" s="51">
        <f t="shared" si="26"/>
        <v>114872</v>
      </c>
      <c r="Q89" s="51">
        <f t="shared" si="26"/>
        <v>290995</v>
      </c>
      <c r="R89" s="51">
        <f t="shared" si="26"/>
        <v>184997</v>
      </c>
      <c r="S89" s="51">
        <f t="shared" si="26"/>
        <v>194647</v>
      </c>
      <c r="T89" s="51">
        <f t="shared" si="26"/>
        <v>188718</v>
      </c>
      <c r="U89" s="51">
        <f t="shared" si="26"/>
        <v>243309</v>
      </c>
      <c r="V89" s="41"/>
      <c r="W89" s="41"/>
      <c r="X89" s="41"/>
      <c r="Y89" s="41"/>
      <c r="Z89" s="41"/>
      <c r="AA89" s="41"/>
      <c r="AB89" s="41"/>
    </row>
    <row r="90" ht="15.75" customHeight="1">
      <c r="A90" s="67" t="s">
        <v>216</v>
      </c>
      <c r="B90" s="67" t="s">
        <v>217</v>
      </c>
      <c r="C90" s="68">
        <f t="shared" ref="C90:U90" si="27">C89/(C$58)</f>
        <v>0.1213359974</v>
      </c>
      <c r="D90" s="68">
        <f t="shared" si="27"/>
        <v>0.1119625985</v>
      </c>
      <c r="E90" s="68">
        <f t="shared" si="27"/>
        <v>0.1137946789</v>
      </c>
      <c r="F90" s="68">
        <f t="shared" si="27"/>
        <v>0.1451191219</v>
      </c>
      <c r="G90" s="68">
        <f t="shared" si="27"/>
        <v>0.08969817251</v>
      </c>
      <c r="H90" s="68">
        <f t="shared" si="27"/>
        <v>0.1356075488</v>
      </c>
      <c r="I90" s="68">
        <f t="shared" si="27"/>
        <v>0.1547301231</v>
      </c>
      <c r="J90" s="68">
        <f t="shared" si="27"/>
        <v>0.1485548021</v>
      </c>
      <c r="K90" s="68">
        <f t="shared" si="27"/>
        <v>0.08908245303</v>
      </c>
      <c r="L90" s="68">
        <f t="shared" si="27"/>
        <v>0.08832120342</v>
      </c>
      <c r="M90" s="68">
        <f t="shared" si="27"/>
        <v>0.3773440169</v>
      </c>
      <c r="N90" s="68">
        <f t="shared" si="27"/>
        <v>0.1008242832</v>
      </c>
      <c r="O90" s="68">
        <f t="shared" si="27"/>
        <v>0.1034895835</v>
      </c>
      <c r="P90" s="68">
        <f t="shared" si="27"/>
        <v>0.09044270251</v>
      </c>
      <c r="Q90" s="68">
        <f t="shared" si="27"/>
        <v>0.2204764798</v>
      </c>
      <c r="R90" s="68">
        <f t="shared" si="27"/>
        <v>0.134780781</v>
      </c>
      <c r="S90" s="68">
        <f t="shared" si="27"/>
        <v>0.1335880456</v>
      </c>
      <c r="T90" s="68">
        <f t="shared" si="27"/>
        <v>0.1272994517</v>
      </c>
      <c r="U90" s="68">
        <f t="shared" si="27"/>
        <v>0.156443055</v>
      </c>
      <c r="V90" s="41"/>
      <c r="W90" s="41"/>
      <c r="X90" s="41"/>
      <c r="Y90" s="41"/>
      <c r="Z90" s="41"/>
      <c r="AA90" s="41"/>
      <c r="AB90" s="41"/>
    </row>
    <row r="91" ht="15.75" customHeight="1">
      <c r="A91" s="41"/>
      <c r="B91" s="52"/>
      <c r="C91" s="53"/>
      <c r="D91" s="53"/>
      <c r="E91" s="53"/>
      <c r="F91" s="53"/>
      <c r="G91" s="53"/>
      <c r="H91" s="53"/>
      <c r="I91" s="53"/>
      <c r="J91" s="53"/>
      <c r="K91" s="53"/>
      <c r="L91" s="53"/>
      <c r="M91" s="53"/>
      <c r="N91" s="53"/>
      <c r="O91" s="53"/>
      <c r="P91" s="53"/>
      <c r="Q91" s="53"/>
      <c r="R91" s="53"/>
      <c r="S91" s="53"/>
      <c r="T91" s="53"/>
      <c r="U91" s="53"/>
      <c r="V91" s="41"/>
      <c r="W91" s="41"/>
      <c r="X91" s="41"/>
      <c r="Y91" s="41"/>
      <c r="Z91" s="41"/>
      <c r="AA91" s="41"/>
      <c r="AB91" s="41"/>
    </row>
    <row r="92" ht="15.75" customHeight="1">
      <c r="A92" s="41" t="s">
        <v>218</v>
      </c>
      <c r="B92" s="52" t="s">
        <v>219</v>
      </c>
      <c r="C92" s="53">
        <f t="shared" ref="C92:U92" si="28">-C84</f>
        <v>3242</v>
      </c>
      <c r="D92" s="53">
        <f t="shared" si="28"/>
        <v>6437</v>
      </c>
      <c r="E92" s="53">
        <f t="shared" si="28"/>
        <v>7432</v>
      </c>
      <c r="F92" s="53">
        <f t="shared" si="28"/>
        <v>3571</v>
      </c>
      <c r="G92" s="53">
        <f t="shared" si="28"/>
        <v>10717</v>
      </c>
      <c r="H92" s="53">
        <f t="shared" si="28"/>
        <v>3653</v>
      </c>
      <c r="I92" s="53">
        <f t="shared" si="28"/>
        <v>-13392</v>
      </c>
      <c r="J92" s="53">
        <f t="shared" si="28"/>
        <v>-3888</v>
      </c>
      <c r="K92" s="53">
        <f t="shared" si="28"/>
        <v>5594</v>
      </c>
      <c r="L92" s="53">
        <f t="shared" si="28"/>
        <v>7935</v>
      </c>
      <c r="M92" s="53">
        <f t="shared" si="28"/>
        <v>-241298</v>
      </c>
      <c r="N92" s="53">
        <f t="shared" si="28"/>
        <v>0</v>
      </c>
      <c r="O92" s="53">
        <f t="shared" si="28"/>
        <v>1085</v>
      </c>
      <c r="P92" s="53">
        <f t="shared" si="28"/>
        <v>0</v>
      </c>
      <c r="Q92" s="53">
        <f t="shared" si="28"/>
        <v>0</v>
      </c>
      <c r="R92" s="53">
        <f t="shared" si="28"/>
        <v>0</v>
      </c>
      <c r="S92" s="53">
        <f t="shared" si="28"/>
        <v>0</v>
      </c>
      <c r="T92" s="53">
        <f t="shared" si="28"/>
        <v>0</v>
      </c>
      <c r="U92" s="53">
        <f t="shared" si="28"/>
        <v>0</v>
      </c>
      <c r="V92" s="41"/>
      <c r="W92" s="41"/>
      <c r="X92" s="41"/>
      <c r="Y92" s="41"/>
      <c r="Z92" s="41"/>
      <c r="AA92" s="41"/>
      <c r="AB92" s="41"/>
    </row>
    <row r="93" ht="15.75" customHeight="1">
      <c r="A93" s="41" t="s">
        <v>220</v>
      </c>
      <c r="B93" s="52" t="s">
        <v>221</v>
      </c>
      <c r="C93" s="53">
        <f t="shared" ref="C93:U93" si="29">-C85</f>
        <v>0</v>
      </c>
      <c r="D93" s="53">
        <f t="shared" si="29"/>
        <v>0</v>
      </c>
      <c r="E93" s="53">
        <f t="shared" si="29"/>
        <v>0</v>
      </c>
      <c r="F93" s="53">
        <f t="shared" si="29"/>
        <v>0</v>
      </c>
      <c r="G93" s="53">
        <f t="shared" si="29"/>
        <v>0</v>
      </c>
      <c r="H93" s="53">
        <f t="shared" si="29"/>
        <v>0</v>
      </c>
      <c r="I93" s="53">
        <f t="shared" si="29"/>
        <v>0</v>
      </c>
      <c r="J93" s="53">
        <f t="shared" si="29"/>
        <v>0</v>
      </c>
      <c r="K93" s="53">
        <f t="shared" si="29"/>
        <v>0</v>
      </c>
      <c r="L93" s="53">
        <f t="shared" si="29"/>
        <v>0</v>
      </c>
      <c r="M93" s="53">
        <f t="shared" si="29"/>
        <v>0</v>
      </c>
      <c r="N93" s="53">
        <f t="shared" si="29"/>
        <v>0</v>
      </c>
      <c r="O93" s="53">
        <f t="shared" si="29"/>
        <v>-539</v>
      </c>
      <c r="P93" s="53">
        <f t="shared" si="29"/>
        <v>-847</v>
      </c>
      <c r="Q93" s="53">
        <f t="shared" si="29"/>
        <v>-555</v>
      </c>
      <c r="R93" s="53">
        <f t="shared" si="29"/>
        <v>-839</v>
      </c>
      <c r="S93" s="53">
        <f t="shared" si="29"/>
        <v>-151</v>
      </c>
      <c r="T93" s="53">
        <f t="shared" si="29"/>
        <v>-300</v>
      </c>
      <c r="U93" s="53">
        <f t="shared" si="29"/>
        <v>-593</v>
      </c>
      <c r="V93" s="41"/>
      <c r="W93" s="41"/>
      <c r="X93" s="41"/>
      <c r="Y93" s="41"/>
      <c r="Z93" s="41"/>
      <c r="AA93" s="41"/>
      <c r="AB93" s="41"/>
    </row>
    <row r="94" ht="15.75" customHeight="1">
      <c r="A94" s="41" t="s">
        <v>222</v>
      </c>
      <c r="B94" s="52" t="s">
        <v>199</v>
      </c>
      <c r="C94" s="53">
        <f t="shared" ref="C94:U94" si="30">-C78</f>
        <v>38618</v>
      </c>
      <c r="D94" s="53">
        <f t="shared" si="30"/>
        <v>36579</v>
      </c>
      <c r="E94" s="53">
        <f t="shared" si="30"/>
        <v>-1654</v>
      </c>
      <c r="F94" s="53">
        <f t="shared" si="30"/>
        <v>11263</v>
      </c>
      <c r="G94" s="53">
        <f t="shared" si="30"/>
        <v>36776</v>
      </c>
      <c r="H94" s="53">
        <f t="shared" si="30"/>
        <v>57087</v>
      </c>
      <c r="I94" s="53">
        <f t="shared" si="30"/>
        <v>35507</v>
      </c>
      <c r="J94" s="53">
        <f t="shared" si="30"/>
        <v>11834</v>
      </c>
      <c r="K94" s="53">
        <f t="shared" si="30"/>
        <v>62854</v>
      </c>
      <c r="L94" s="53">
        <f t="shared" si="30"/>
        <v>53135</v>
      </c>
      <c r="M94" s="53">
        <f t="shared" si="30"/>
        <v>21182</v>
      </c>
      <c r="N94" s="53">
        <f t="shared" si="30"/>
        <v>9100</v>
      </c>
      <c r="O94" s="53">
        <f t="shared" si="30"/>
        <v>78489</v>
      </c>
      <c r="P94" s="53">
        <f t="shared" si="30"/>
        <v>61652</v>
      </c>
      <c r="Q94" s="53">
        <f t="shared" si="30"/>
        <v>-64751</v>
      </c>
      <c r="R94" s="53">
        <f t="shared" si="30"/>
        <v>16115</v>
      </c>
      <c r="S94" s="53">
        <f t="shared" si="30"/>
        <v>58112</v>
      </c>
      <c r="T94" s="53">
        <f t="shared" si="30"/>
        <v>48080</v>
      </c>
      <c r="U94" s="53">
        <f t="shared" si="30"/>
        <v>59740</v>
      </c>
      <c r="V94" s="41"/>
      <c r="W94" s="41"/>
      <c r="X94" s="41"/>
      <c r="Y94" s="41"/>
      <c r="Z94" s="41"/>
      <c r="AA94" s="41"/>
      <c r="AB94" s="41"/>
    </row>
    <row r="95" ht="15.75" customHeight="1">
      <c r="A95" s="41" t="s">
        <v>190</v>
      </c>
      <c r="B95" s="52" t="s">
        <v>191</v>
      </c>
      <c r="C95" s="53">
        <f t="shared" ref="C95:U95" si="31">-C72</f>
        <v>8351</v>
      </c>
      <c r="D95" s="53">
        <f t="shared" si="31"/>
        <v>13323</v>
      </c>
      <c r="E95" s="53">
        <f t="shared" si="31"/>
        <v>34046</v>
      </c>
      <c r="F95" s="53">
        <f t="shared" si="31"/>
        <v>-1516</v>
      </c>
      <c r="G95" s="53">
        <f t="shared" si="31"/>
        <v>702</v>
      </c>
      <c r="H95" s="53">
        <f t="shared" si="31"/>
        <v>-13481</v>
      </c>
      <c r="I95" s="53">
        <f t="shared" si="31"/>
        <v>-2809</v>
      </c>
      <c r="J95" s="53">
        <f t="shared" si="31"/>
        <v>-4932</v>
      </c>
      <c r="K95" s="53">
        <f t="shared" si="31"/>
        <v>20631</v>
      </c>
      <c r="L95" s="53">
        <f t="shared" si="31"/>
        <v>3702</v>
      </c>
      <c r="M95" s="53">
        <f t="shared" si="31"/>
        <v>-7979</v>
      </c>
      <c r="N95" s="53">
        <f t="shared" si="31"/>
        <v>1190</v>
      </c>
      <c r="O95" s="53">
        <f t="shared" si="31"/>
        <v>4695</v>
      </c>
      <c r="P95" s="53">
        <f t="shared" si="31"/>
        <v>9644</v>
      </c>
      <c r="Q95" s="53">
        <f t="shared" si="31"/>
        <v>19821</v>
      </c>
      <c r="R95" s="53">
        <f t="shared" si="31"/>
        <v>15256</v>
      </c>
      <c r="S95" s="53">
        <f t="shared" si="31"/>
        <v>19352</v>
      </c>
      <c r="T95" s="53">
        <f t="shared" si="31"/>
        <v>19131</v>
      </c>
      <c r="U95" s="53">
        <f t="shared" si="31"/>
        <v>1014</v>
      </c>
      <c r="V95" s="41"/>
      <c r="W95" s="41"/>
      <c r="X95" s="41"/>
      <c r="Y95" s="41"/>
      <c r="Z95" s="41"/>
      <c r="AA95" s="41"/>
      <c r="AB95" s="41"/>
    </row>
    <row r="96" ht="15.75" customHeight="1">
      <c r="A96" s="41" t="s">
        <v>184</v>
      </c>
      <c r="B96" s="52" t="s">
        <v>185</v>
      </c>
      <c r="C96" s="53">
        <f t="shared" ref="C96:U96" si="32">-C66</f>
        <v>44130</v>
      </c>
      <c r="D96" s="53">
        <f t="shared" si="32"/>
        <v>44534</v>
      </c>
      <c r="E96" s="53">
        <f t="shared" si="32"/>
        <v>55609</v>
      </c>
      <c r="F96" s="53">
        <f t="shared" si="32"/>
        <v>54911</v>
      </c>
      <c r="G96" s="53">
        <f t="shared" si="32"/>
        <v>57110</v>
      </c>
      <c r="H96" s="53">
        <f t="shared" si="32"/>
        <v>58116</v>
      </c>
      <c r="I96" s="53">
        <f t="shared" si="32"/>
        <v>59635</v>
      </c>
      <c r="J96" s="53">
        <f t="shared" si="32"/>
        <v>61268</v>
      </c>
      <c r="K96" s="53">
        <f t="shared" si="32"/>
        <v>62053</v>
      </c>
      <c r="L96" s="53">
        <f t="shared" si="32"/>
        <v>75709</v>
      </c>
      <c r="M96" s="53">
        <f t="shared" si="32"/>
        <v>71456</v>
      </c>
      <c r="N96" s="53">
        <f t="shared" si="32"/>
        <v>73249</v>
      </c>
      <c r="O96" s="53">
        <f t="shared" si="32"/>
        <v>73375</v>
      </c>
      <c r="P96" s="53">
        <f t="shared" si="32"/>
        <v>84260</v>
      </c>
      <c r="Q96" s="53">
        <f t="shared" si="32"/>
        <v>86773</v>
      </c>
      <c r="R96" s="53">
        <f t="shared" si="32"/>
        <v>81498</v>
      </c>
      <c r="S96" s="53">
        <f t="shared" si="32"/>
        <v>85427</v>
      </c>
      <c r="T96" s="53">
        <f t="shared" si="32"/>
        <v>88969</v>
      </c>
      <c r="U96" s="53">
        <f t="shared" si="32"/>
        <v>93714</v>
      </c>
      <c r="V96" s="41"/>
      <c r="W96" s="41"/>
      <c r="X96" s="41"/>
      <c r="Y96" s="41"/>
      <c r="Z96" s="41"/>
      <c r="AA96" s="41"/>
      <c r="AB96" s="41"/>
    </row>
    <row r="97" ht="15.75" customHeight="1">
      <c r="A97" s="41"/>
      <c r="B97" s="52"/>
      <c r="C97" s="53"/>
      <c r="D97" s="53"/>
      <c r="E97" s="53"/>
      <c r="F97" s="53"/>
      <c r="G97" s="53"/>
      <c r="H97" s="53"/>
      <c r="I97" s="53"/>
      <c r="J97" s="53"/>
      <c r="K97" s="53"/>
      <c r="L97" s="53"/>
      <c r="M97" s="53"/>
      <c r="N97" s="53"/>
      <c r="O97" s="53"/>
      <c r="P97" s="53"/>
      <c r="Q97" s="53"/>
      <c r="R97" s="53"/>
      <c r="S97" s="53"/>
      <c r="T97" s="53"/>
      <c r="U97" s="53"/>
      <c r="V97" s="41"/>
      <c r="W97" s="41"/>
      <c r="X97" s="41"/>
      <c r="Y97" s="41"/>
      <c r="Z97" s="41"/>
      <c r="AA97" s="41"/>
      <c r="AB97" s="41"/>
    </row>
    <row r="98" ht="15.75" customHeight="1">
      <c r="A98" s="56" t="s">
        <v>223</v>
      </c>
      <c r="B98" s="57" t="s">
        <v>224</v>
      </c>
      <c r="C98" s="58">
        <f t="shared" ref="C98:U98" si="33">C87+SUM(C92:C96)</f>
        <v>174986</v>
      </c>
      <c r="D98" s="58">
        <f t="shared" si="33"/>
        <v>179519</v>
      </c>
      <c r="E98" s="58">
        <f t="shared" si="33"/>
        <v>184350</v>
      </c>
      <c r="F98" s="58">
        <f t="shared" si="33"/>
        <v>194058</v>
      </c>
      <c r="G98" s="58">
        <f t="shared" si="33"/>
        <v>190282</v>
      </c>
      <c r="H98" s="58">
        <f t="shared" si="33"/>
        <v>234516</v>
      </c>
      <c r="I98" s="58">
        <f t="shared" si="33"/>
        <v>234709</v>
      </c>
      <c r="J98" s="58">
        <f t="shared" si="33"/>
        <v>217697</v>
      </c>
      <c r="K98" s="58">
        <f t="shared" si="33"/>
        <v>249666</v>
      </c>
      <c r="L98" s="58">
        <f t="shared" si="33"/>
        <v>243314</v>
      </c>
      <c r="M98" s="58">
        <f t="shared" si="33"/>
        <v>277871</v>
      </c>
      <c r="N98" s="58">
        <f t="shared" si="33"/>
        <v>209838</v>
      </c>
      <c r="O98" s="58">
        <f t="shared" si="33"/>
        <v>286476</v>
      </c>
      <c r="P98" s="58">
        <f t="shared" si="33"/>
        <v>275414</v>
      </c>
      <c r="Q98" s="58">
        <f t="shared" si="33"/>
        <v>337132</v>
      </c>
      <c r="R98" s="58">
        <f t="shared" si="33"/>
        <v>301553</v>
      </c>
      <c r="S98" s="58">
        <f t="shared" si="33"/>
        <v>363335</v>
      </c>
      <c r="T98" s="58">
        <f t="shared" si="33"/>
        <v>350967</v>
      </c>
      <c r="U98" s="58">
        <f t="shared" si="33"/>
        <v>405417</v>
      </c>
      <c r="V98" s="41"/>
      <c r="W98" s="41"/>
      <c r="X98" s="41"/>
      <c r="Y98" s="41"/>
      <c r="Z98" s="41"/>
      <c r="AA98" s="41"/>
      <c r="AB98" s="41"/>
    </row>
    <row r="99" ht="15.75" customHeight="1">
      <c r="A99" s="41"/>
      <c r="B99" s="41"/>
      <c r="C99" s="70"/>
      <c r="D99" s="70"/>
      <c r="E99" s="70"/>
      <c r="F99" s="41"/>
      <c r="G99" s="41"/>
      <c r="H99" s="41"/>
      <c r="I99" s="41"/>
      <c r="J99" s="41"/>
      <c r="K99" s="41"/>
      <c r="L99" s="41"/>
      <c r="M99" s="41"/>
      <c r="N99" s="41"/>
      <c r="O99" s="41"/>
      <c r="P99" s="41"/>
      <c r="Q99" s="41"/>
      <c r="R99" s="41"/>
      <c r="S99" s="41"/>
      <c r="T99" s="41"/>
      <c r="U99" s="41"/>
      <c r="V99" s="41"/>
      <c r="W99" s="41"/>
      <c r="X99" s="41"/>
      <c r="Y99" s="41"/>
      <c r="Z99" s="41"/>
      <c r="AA99" s="41"/>
      <c r="AB99" s="41"/>
    </row>
    <row r="100" ht="15.75" customHeight="1">
      <c r="A100" s="56" t="s">
        <v>225</v>
      </c>
      <c r="B100" s="57" t="s">
        <v>226</v>
      </c>
      <c r="C100" s="58">
        <v>0.0</v>
      </c>
      <c r="D100" s="58">
        <v>0.0</v>
      </c>
      <c r="E100" s="58">
        <v>0.0</v>
      </c>
      <c r="F100" s="58">
        <v>0.0</v>
      </c>
      <c r="G100" s="58">
        <v>0.0</v>
      </c>
      <c r="H100" s="58">
        <v>0.0</v>
      </c>
      <c r="I100" s="58">
        <v>0.0</v>
      </c>
      <c r="J100" s="58">
        <v>0.0</v>
      </c>
      <c r="K100" s="58">
        <v>0.0</v>
      </c>
      <c r="L100" s="58">
        <v>0.0</v>
      </c>
      <c r="M100" s="58">
        <f t="shared" ref="M100:U100" si="34">-M68</f>
        <v>-4402</v>
      </c>
      <c r="N100" s="58">
        <f t="shared" si="34"/>
        <v>1207</v>
      </c>
      <c r="O100" s="58">
        <f t="shared" si="34"/>
        <v>4261</v>
      </c>
      <c r="P100" s="58">
        <f t="shared" si="34"/>
        <v>3561</v>
      </c>
      <c r="Q100" s="58">
        <f t="shared" si="34"/>
        <v>-2058</v>
      </c>
      <c r="R100" s="58">
        <f t="shared" si="34"/>
        <v>-4193</v>
      </c>
      <c r="S100" s="58">
        <f t="shared" si="34"/>
        <v>-2974</v>
      </c>
      <c r="T100" s="58">
        <f t="shared" si="34"/>
        <v>-154</v>
      </c>
      <c r="U100" s="58">
        <f t="shared" si="34"/>
        <v>-7401</v>
      </c>
      <c r="V100" s="41"/>
      <c r="W100" s="41"/>
      <c r="X100" s="41"/>
      <c r="Y100" s="41"/>
      <c r="Z100" s="41"/>
      <c r="AA100" s="41"/>
      <c r="AB100" s="41"/>
    </row>
    <row r="101" ht="15.75" customHeight="1">
      <c r="A101" s="56" t="s">
        <v>227</v>
      </c>
      <c r="B101" s="57" t="s">
        <v>187</v>
      </c>
      <c r="C101" s="58">
        <f t="shared" ref="C101:L101" si="35">-C68</f>
        <v>0</v>
      </c>
      <c r="D101" s="58">
        <f t="shared" si="35"/>
        <v>564</v>
      </c>
      <c r="E101" s="58">
        <f t="shared" si="35"/>
        <v>-38</v>
      </c>
      <c r="F101" s="58">
        <f t="shared" si="35"/>
        <v>0</v>
      </c>
      <c r="G101" s="58">
        <f t="shared" si="35"/>
        <v>-7</v>
      </c>
      <c r="H101" s="58">
        <f t="shared" si="35"/>
        <v>0</v>
      </c>
      <c r="I101" s="58">
        <f t="shared" si="35"/>
        <v>0</v>
      </c>
      <c r="J101" s="58">
        <f t="shared" si="35"/>
        <v>449</v>
      </c>
      <c r="K101" s="58">
        <f t="shared" si="35"/>
        <v>0</v>
      </c>
      <c r="L101" s="58">
        <f t="shared" si="35"/>
        <v>0</v>
      </c>
      <c r="M101" s="71">
        <v>0.0</v>
      </c>
      <c r="N101" s="71">
        <v>0.0</v>
      </c>
      <c r="O101" s="71">
        <v>0.0</v>
      </c>
      <c r="P101" s="71">
        <v>0.0</v>
      </c>
      <c r="Q101" s="71">
        <v>0.0</v>
      </c>
      <c r="R101" s="71">
        <v>0.0</v>
      </c>
      <c r="S101" s="71">
        <v>0.0</v>
      </c>
      <c r="T101" s="71">
        <v>0.0</v>
      </c>
      <c r="U101" s="71">
        <v>0.0</v>
      </c>
      <c r="V101" s="41"/>
      <c r="W101" s="41"/>
      <c r="X101" s="41"/>
      <c r="Y101" s="41"/>
      <c r="Z101" s="41"/>
      <c r="AA101" s="41"/>
      <c r="AB101" s="41"/>
    </row>
    <row r="102" ht="15.75" customHeight="1">
      <c r="A102" s="56" t="s">
        <v>228</v>
      </c>
      <c r="B102" s="57" t="s">
        <v>229</v>
      </c>
      <c r="C102" s="58">
        <f>SUM(C103:C113)</f>
        <v>1972</v>
      </c>
      <c r="D102" s="58">
        <f t="shared" ref="D102:N102" si="36">SUM(D103:D112)</f>
        <v>-3738</v>
      </c>
      <c r="E102" s="58">
        <f t="shared" si="36"/>
        <v>1447</v>
      </c>
      <c r="F102" s="58">
        <f t="shared" si="36"/>
        <v>8643</v>
      </c>
      <c r="G102" s="58">
        <f t="shared" si="36"/>
        <v>28178</v>
      </c>
      <c r="H102" s="58">
        <f t="shared" si="36"/>
        <v>-13788</v>
      </c>
      <c r="I102" s="58">
        <f t="shared" si="36"/>
        <v>5278</v>
      </c>
      <c r="J102" s="58">
        <f t="shared" si="36"/>
        <v>12244</v>
      </c>
      <c r="K102" s="58">
        <f t="shared" si="36"/>
        <v>25972</v>
      </c>
      <c r="L102" s="58">
        <f t="shared" si="36"/>
        <v>14638</v>
      </c>
      <c r="M102" s="58">
        <f t="shared" si="36"/>
        <v>9173</v>
      </c>
      <c r="N102" s="58">
        <f t="shared" si="36"/>
        <v>46152</v>
      </c>
      <c r="O102" s="58">
        <f t="shared" ref="O102:U102" si="37">SUM(O103:O113)</f>
        <v>15169</v>
      </c>
      <c r="P102" s="58">
        <f t="shared" si="37"/>
        <v>15936</v>
      </c>
      <c r="Q102" s="58">
        <f t="shared" si="37"/>
        <v>-5221</v>
      </c>
      <c r="R102" s="58">
        <f t="shared" si="37"/>
        <v>43619</v>
      </c>
      <c r="S102" s="58">
        <f t="shared" si="37"/>
        <v>18352</v>
      </c>
      <c r="T102" s="58">
        <f t="shared" si="37"/>
        <v>12011</v>
      </c>
      <c r="U102" s="58">
        <f t="shared" si="37"/>
        <v>6785</v>
      </c>
      <c r="V102" s="41"/>
      <c r="W102" s="41"/>
      <c r="X102" s="41"/>
      <c r="Y102" s="41"/>
      <c r="Z102" s="41"/>
      <c r="AA102" s="41"/>
      <c r="AB102" s="41"/>
    </row>
    <row r="103" ht="15.75" customHeight="1">
      <c r="A103" s="41" t="s">
        <v>140</v>
      </c>
      <c r="B103" s="52" t="s">
        <v>141</v>
      </c>
      <c r="C103" s="53">
        <f t="shared" ref="C103:U103" si="38">-C21</f>
        <v>0</v>
      </c>
      <c r="D103" s="53">
        <f t="shared" si="38"/>
        <v>0</v>
      </c>
      <c r="E103" s="53">
        <f t="shared" si="38"/>
        <v>0</v>
      </c>
      <c r="F103" s="53">
        <f t="shared" si="38"/>
        <v>0</v>
      </c>
      <c r="G103" s="53">
        <f t="shared" si="38"/>
        <v>0</v>
      </c>
      <c r="H103" s="53">
        <f t="shared" si="38"/>
        <v>0</v>
      </c>
      <c r="I103" s="53">
        <f t="shared" si="38"/>
        <v>0</v>
      </c>
      <c r="J103" s="53">
        <f t="shared" si="38"/>
        <v>0</v>
      </c>
      <c r="K103" s="53">
        <f t="shared" si="38"/>
        <v>0</v>
      </c>
      <c r="L103" s="53">
        <f t="shared" si="38"/>
        <v>0</v>
      </c>
      <c r="M103" s="53">
        <f t="shared" si="38"/>
        <v>0</v>
      </c>
      <c r="N103" s="53">
        <f t="shared" si="38"/>
        <v>0</v>
      </c>
      <c r="O103" s="53">
        <f t="shared" si="38"/>
        <v>0</v>
      </c>
      <c r="P103" s="53">
        <f t="shared" si="38"/>
        <v>0</v>
      </c>
      <c r="Q103" s="53">
        <f t="shared" si="38"/>
        <v>0</v>
      </c>
      <c r="R103" s="53">
        <f t="shared" si="38"/>
        <v>0</v>
      </c>
      <c r="S103" s="53">
        <f t="shared" si="38"/>
        <v>0</v>
      </c>
      <c r="T103" s="53">
        <f t="shared" si="38"/>
        <v>0</v>
      </c>
      <c r="U103" s="53">
        <f t="shared" si="38"/>
        <v>0</v>
      </c>
      <c r="V103" s="41"/>
      <c r="W103" s="41"/>
      <c r="X103" s="41"/>
      <c r="Y103" s="41"/>
      <c r="Z103" s="41"/>
      <c r="AA103" s="41"/>
      <c r="AB103" s="41"/>
    </row>
    <row r="104" ht="15.75" customHeight="1">
      <c r="A104" s="41" t="s">
        <v>142</v>
      </c>
      <c r="B104" s="52" t="s">
        <v>143</v>
      </c>
      <c r="C104" s="53">
        <f t="shared" ref="C104:U104" si="39">-C22</f>
        <v>0</v>
      </c>
      <c r="D104" s="53">
        <f t="shared" si="39"/>
        <v>0</v>
      </c>
      <c r="E104" s="53">
        <f t="shared" si="39"/>
        <v>0</v>
      </c>
      <c r="F104" s="53">
        <f t="shared" si="39"/>
        <v>0</v>
      </c>
      <c r="G104" s="53">
        <f t="shared" si="39"/>
        <v>0</v>
      </c>
      <c r="H104" s="53">
        <f t="shared" si="39"/>
        <v>0</v>
      </c>
      <c r="I104" s="53">
        <f t="shared" si="39"/>
        <v>0</v>
      </c>
      <c r="J104" s="53">
        <f t="shared" si="39"/>
        <v>0</v>
      </c>
      <c r="K104" s="53">
        <f t="shared" si="39"/>
        <v>0</v>
      </c>
      <c r="L104" s="53">
        <f t="shared" si="39"/>
        <v>0</v>
      </c>
      <c r="M104" s="53">
        <f t="shared" si="39"/>
        <v>0</v>
      </c>
      <c r="N104" s="53">
        <f t="shared" si="39"/>
        <v>0</v>
      </c>
      <c r="O104" s="53">
        <f t="shared" si="39"/>
        <v>0</v>
      </c>
      <c r="P104" s="53">
        <f t="shared" si="39"/>
        <v>0</v>
      </c>
      <c r="Q104" s="53">
        <f t="shared" si="39"/>
        <v>0</v>
      </c>
      <c r="R104" s="53">
        <f t="shared" si="39"/>
        <v>0</v>
      </c>
      <c r="S104" s="53">
        <f t="shared" si="39"/>
        <v>0</v>
      </c>
      <c r="T104" s="53">
        <f t="shared" si="39"/>
        <v>0</v>
      </c>
      <c r="U104" s="53">
        <f t="shared" si="39"/>
        <v>0</v>
      </c>
      <c r="V104" s="41"/>
      <c r="W104" s="41"/>
      <c r="X104" s="41"/>
      <c r="Y104" s="41"/>
      <c r="Z104" s="41"/>
      <c r="AA104" s="41"/>
      <c r="AB104" s="41"/>
    </row>
    <row r="105" ht="15.75" customHeight="1">
      <c r="A105" s="41" t="s">
        <v>144</v>
      </c>
      <c r="B105" s="52" t="s">
        <v>145</v>
      </c>
      <c r="C105" s="53">
        <f t="shared" ref="C105:U105" si="40">-C23</f>
        <v>0</v>
      </c>
      <c r="D105" s="53">
        <f t="shared" si="40"/>
        <v>0</v>
      </c>
      <c r="E105" s="53">
        <f t="shared" si="40"/>
        <v>0</v>
      </c>
      <c r="F105" s="53">
        <f t="shared" si="40"/>
        <v>0</v>
      </c>
      <c r="G105" s="53">
        <f t="shared" si="40"/>
        <v>0</v>
      </c>
      <c r="H105" s="53">
        <f t="shared" si="40"/>
        <v>0</v>
      </c>
      <c r="I105" s="53">
        <f t="shared" si="40"/>
        <v>0</v>
      </c>
      <c r="J105" s="53">
        <f t="shared" si="40"/>
        <v>0</v>
      </c>
      <c r="K105" s="53">
        <f t="shared" si="40"/>
        <v>0</v>
      </c>
      <c r="L105" s="53">
        <f t="shared" si="40"/>
        <v>0</v>
      </c>
      <c r="M105" s="53">
        <f t="shared" si="40"/>
        <v>0</v>
      </c>
      <c r="N105" s="53">
        <f t="shared" si="40"/>
        <v>0</v>
      </c>
      <c r="O105" s="53">
        <f t="shared" si="40"/>
        <v>0</v>
      </c>
      <c r="P105" s="53">
        <f t="shared" si="40"/>
        <v>0</v>
      </c>
      <c r="Q105" s="53">
        <f t="shared" si="40"/>
        <v>0</v>
      </c>
      <c r="R105" s="53">
        <f t="shared" si="40"/>
        <v>0</v>
      </c>
      <c r="S105" s="53">
        <f t="shared" si="40"/>
        <v>0</v>
      </c>
      <c r="T105" s="53">
        <f t="shared" si="40"/>
        <v>0</v>
      </c>
      <c r="U105" s="53">
        <f t="shared" si="40"/>
        <v>0</v>
      </c>
      <c r="V105" s="41"/>
      <c r="W105" s="41"/>
      <c r="X105" s="41"/>
      <c r="Y105" s="41"/>
      <c r="Z105" s="41"/>
      <c r="AA105" s="41"/>
      <c r="AB105" s="41"/>
    </row>
    <row r="106" ht="15.75" customHeight="1">
      <c r="A106" s="41" t="s">
        <v>146</v>
      </c>
      <c r="B106" s="52" t="s">
        <v>147</v>
      </c>
      <c r="C106" s="53">
        <f t="shared" ref="C106:U106" si="41">-C24-C49</f>
        <v>0</v>
      </c>
      <c r="D106" s="53">
        <f t="shared" si="41"/>
        <v>-834</v>
      </c>
      <c r="E106" s="53">
        <f t="shared" si="41"/>
        <v>0</v>
      </c>
      <c r="F106" s="53">
        <f t="shared" si="41"/>
        <v>18943</v>
      </c>
      <c r="G106" s="53">
        <f t="shared" si="41"/>
        <v>24913</v>
      </c>
      <c r="H106" s="53">
        <f t="shared" si="41"/>
        <v>1158</v>
      </c>
      <c r="I106" s="53">
        <f t="shared" si="41"/>
        <v>0</v>
      </c>
      <c r="J106" s="53">
        <f t="shared" si="41"/>
        <v>2597</v>
      </c>
      <c r="K106" s="53">
        <f t="shared" si="41"/>
        <v>21608</v>
      </c>
      <c r="L106" s="53">
        <f t="shared" si="41"/>
        <v>5064</v>
      </c>
      <c r="M106" s="53">
        <f t="shared" si="41"/>
        <v>7861</v>
      </c>
      <c r="N106" s="53">
        <f t="shared" si="41"/>
        <v>38395</v>
      </c>
      <c r="O106" s="53">
        <f t="shared" si="41"/>
        <v>14035</v>
      </c>
      <c r="P106" s="53">
        <f t="shared" si="41"/>
        <v>11376</v>
      </c>
      <c r="Q106" s="53">
        <f t="shared" si="41"/>
        <v>728</v>
      </c>
      <c r="R106" s="53">
        <f t="shared" si="41"/>
        <v>13937</v>
      </c>
      <c r="S106" s="53">
        <f t="shared" si="41"/>
        <v>13486</v>
      </c>
      <c r="T106" s="53">
        <f t="shared" si="41"/>
        <v>3762</v>
      </c>
      <c r="U106" s="53">
        <f t="shared" si="41"/>
        <v>0</v>
      </c>
      <c r="V106" s="41"/>
      <c r="W106" s="41"/>
      <c r="X106" s="41"/>
      <c r="Y106" s="41"/>
      <c r="Z106" s="41"/>
      <c r="AA106" s="41"/>
      <c r="AB106" s="41"/>
    </row>
    <row r="107" ht="15.75" customHeight="1">
      <c r="A107" s="41" t="s">
        <v>148</v>
      </c>
      <c r="B107" s="52" t="s">
        <v>149</v>
      </c>
      <c r="C107" s="53">
        <f t="shared" ref="C107:U107" si="42">-C25</f>
        <v>0</v>
      </c>
      <c r="D107" s="53">
        <f t="shared" si="42"/>
        <v>0</v>
      </c>
      <c r="E107" s="53">
        <f t="shared" si="42"/>
        <v>-1156</v>
      </c>
      <c r="F107" s="53">
        <f t="shared" si="42"/>
        <v>0</v>
      </c>
      <c r="G107" s="53">
        <f t="shared" si="42"/>
        <v>0</v>
      </c>
      <c r="H107" s="53">
        <f t="shared" si="42"/>
        <v>0</v>
      </c>
      <c r="I107" s="53">
        <f t="shared" si="42"/>
        <v>0</v>
      </c>
      <c r="J107" s="53">
        <f t="shared" si="42"/>
        <v>4689</v>
      </c>
      <c r="K107" s="53">
        <f t="shared" si="42"/>
        <v>0</v>
      </c>
      <c r="L107" s="53">
        <f t="shared" si="42"/>
        <v>0</v>
      </c>
      <c r="M107" s="53">
        <f t="shared" si="42"/>
        <v>0</v>
      </c>
      <c r="N107" s="53">
        <f t="shared" si="42"/>
        <v>0</v>
      </c>
      <c r="O107" s="53">
        <f t="shared" si="42"/>
        <v>-5892</v>
      </c>
      <c r="P107" s="53">
        <f t="shared" si="42"/>
        <v>0</v>
      </c>
      <c r="Q107" s="53">
        <f t="shared" si="42"/>
        <v>-8599</v>
      </c>
      <c r="R107" s="53">
        <f t="shared" si="42"/>
        <v>7333</v>
      </c>
      <c r="S107" s="53">
        <f t="shared" si="42"/>
        <v>2411</v>
      </c>
      <c r="T107" s="53">
        <f t="shared" si="42"/>
        <v>1759</v>
      </c>
      <c r="U107" s="53">
        <f t="shared" si="42"/>
        <v>0</v>
      </c>
      <c r="V107" s="41"/>
      <c r="W107" s="41"/>
      <c r="X107" s="41"/>
      <c r="Y107" s="41"/>
      <c r="Z107" s="41"/>
      <c r="AA107" s="41"/>
      <c r="AB107" s="41"/>
    </row>
    <row r="108" ht="15.75" customHeight="1">
      <c r="A108" s="41" t="s">
        <v>150</v>
      </c>
      <c r="B108" s="52" t="s">
        <v>151</v>
      </c>
      <c r="C108" s="53">
        <f t="shared" ref="C108:U108" si="43">-C26</f>
        <v>1972</v>
      </c>
      <c r="D108" s="53">
        <f t="shared" si="43"/>
        <v>5814</v>
      </c>
      <c r="E108" s="53">
        <f t="shared" si="43"/>
        <v>2603</v>
      </c>
      <c r="F108" s="53">
        <f t="shared" si="43"/>
        <v>178</v>
      </c>
      <c r="G108" s="53">
        <f t="shared" si="43"/>
        <v>3265</v>
      </c>
      <c r="H108" s="53">
        <f t="shared" si="43"/>
        <v>2657</v>
      </c>
      <c r="I108" s="53">
        <f t="shared" si="43"/>
        <v>5278</v>
      </c>
      <c r="J108" s="53">
        <f t="shared" si="43"/>
        <v>3963</v>
      </c>
      <c r="K108" s="53">
        <f t="shared" si="43"/>
        <v>1270</v>
      </c>
      <c r="L108" s="53">
        <f t="shared" si="43"/>
        <v>1364</v>
      </c>
      <c r="M108" s="53">
        <f t="shared" si="43"/>
        <v>1492</v>
      </c>
      <c r="N108" s="53">
        <f t="shared" si="43"/>
        <v>5711</v>
      </c>
      <c r="O108" s="53">
        <f t="shared" si="43"/>
        <v>2969</v>
      </c>
      <c r="P108" s="53">
        <f t="shared" si="43"/>
        <v>3935</v>
      </c>
      <c r="Q108" s="53">
        <f t="shared" si="43"/>
        <v>3101</v>
      </c>
      <c r="R108" s="53">
        <f t="shared" si="43"/>
        <v>2757</v>
      </c>
      <c r="S108" s="53">
        <f t="shared" si="43"/>
        <v>1880</v>
      </c>
      <c r="T108" s="53">
        <f t="shared" si="43"/>
        <v>1222</v>
      </c>
      <c r="U108" s="53">
        <f t="shared" si="43"/>
        <v>6220</v>
      </c>
      <c r="V108" s="41"/>
      <c r="W108" s="41"/>
      <c r="X108" s="41"/>
      <c r="Y108" s="41"/>
      <c r="Z108" s="41"/>
      <c r="AA108" s="41"/>
      <c r="AB108" s="41"/>
    </row>
    <row r="109" ht="15.75" customHeight="1">
      <c r="A109" s="41" t="s">
        <v>152</v>
      </c>
      <c r="B109" s="52" t="s">
        <v>153</v>
      </c>
      <c r="C109" s="53">
        <f t="shared" ref="C109:U109" si="44">-C27</f>
        <v>0</v>
      </c>
      <c r="D109" s="53">
        <f t="shared" si="44"/>
        <v>-8718</v>
      </c>
      <c r="E109" s="53">
        <f t="shared" si="44"/>
        <v>0</v>
      </c>
      <c r="F109" s="53">
        <f t="shared" si="44"/>
        <v>-10478</v>
      </c>
      <c r="G109" s="53">
        <f t="shared" si="44"/>
        <v>0</v>
      </c>
      <c r="H109" s="53">
        <f t="shared" si="44"/>
        <v>-17603</v>
      </c>
      <c r="I109" s="53">
        <f t="shared" si="44"/>
        <v>0</v>
      </c>
      <c r="J109" s="53">
        <f t="shared" si="44"/>
        <v>995</v>
      </c>
      <c r="K109" s="53">
        <f t="shared" si="44"/>
        <v>0</v>
      </c>
      <c r="L109" s="53">
        <f t="shared" si="44"/>
        <v>863</v>
      </c>
      <c r="M109" s="53">
        <f t="shared" si="44"/>
        <v>-233</v>
      </c>
      <c r="N109" s="53">
        <f t="shared" si="44"/>
        <v>0</v>
      </c>
      <c r="O109" s="53">
        <f t="shared" si="44"/>
        <v>0</v>
      </c>
      <c r="P109" s="53">
        <f t="shared" si="44"/>
        <v>0</v>
      </c>
      <c r="Q109" s="53">
        <f t="shared" si="44"/>
        <v>0</v>
      </c>
      <c r="R109" s="53">
        <f t="shared" si="44"/>
        <v>0</v>
      </c>
      <c r="S109" s="53">
        <f t="shared" si="44"/>
        <v>0</v>
      </c>
      <c r="T109" s="53">
        <f t="shared" si="44"/>
        <v>0</v>
      </c>
      <c r="U109" s="53">
        <f t="shared" si="44"/>
        <v>0</v>
      </c>
      <c r="V109" s="41"/>
      <c r="W109" s="41"/>
      <c r="X109" s="41"/>
      <c r="Y109" s="41"/>
      <c r="Z109" s="41"/>
      <c r="AA109" s="41"/>
      <c r="AB109" s="41"/>
    </row>
    <row r="110" ht="15.75" customHeight="1">
      <c r="A110" s="41"/>
      <c r="B110" s="52"/>
      <c r="C110" s="53"/>
      <c r="D110" s="53"/>
      <c r="E110" s="53"/>
      <c r="F110" s="53"/>
      <c r="G110" s="53"/>
      <c r="H110" s="53"/>
      <c r="I110" s="53"/>
      <c r="J110" s="53"/>
      <c r="K110" s="53"/>
      <c r="L110" s="53"/>
      <c r="M110" s="53"/>
      <c r="N110" s="53"/>
      <c r="O110" s="53"/>
      <c r="P110" s="53"/>
      <c r="Q110" s="53"/>
      <c r="R110" s="53"/>
      <c r="S110" s="53"/>
      <c r="T110" s="53"/>
      <c r="U110" s="53"/>
      <c r="V110" s="41"/>
      <c r="W110" s="41"/>
      <c r="X110" s="41"/>
      <c r="Y110" s="41"/>
      <c r="Z110" s="41"/>
      <c r="AA110" s="41"/>
      <c r="AB110" s="41"/>
    </row>
    <row r="111" ht="15.75" customHeight="1">
      <c r="A111" s="41" t="s">
        <v>154</v>
      </c>
      <c r="B111" s="52" t="s">
        <v>155</v>
      </c>
      <c r="C111" s="53">
        <f t="shared" ref="C111:U111" si="45">-C50-C28</f>
        <v>0</v>
      </c>
      <c r="D111" s="53">
        <f t="shared" si="45"/>
        <v>0</v>
      </c>
      <c r="E111" s="53">
        <f t="shared" si="45"/>
        <v>0</v>
      </c>
      <c r="F111" s="53">
        <f t="shared" si="45"/>
        <v>0</v>
      </c>
      <c r="G111" s="53">
        <f t="shared" si="45"/>
        <v>0</v>
      </c>
      <c r="H111" s="53">
        <f t="shared" si="45"/>
        <v>0</v>
      </c>
      <c r="I111" s="53">
        <f t="shared" si="45"/>
        <v>0</v>
      </c>
      <c r="J111" s="53">
        <f t="shared" si="45"/>
        <v>0</v>
      </c>
      <c r="K111" s="53">
        <f t="shared" si="45"/>
        <v>3094</v>
      </c>
      <c r="L111" s="53">
        <f t="shared" si="45"/>
        <v>7347</v>
      </c>
      <c r="M111" s="53">
        <f t="shared" si="45"/>
        <v>53</v>
      </c>
      <c r="N111" s="53">
        <f t="shared" si="45"/>
        <v>2046</v>
      </c>
      <c r="O111" s="53">
        <f t="shared" si="45"/>
        <v>4057</v>
      </c>
      <c r="P111" s="53">
        <f t="shared" si="45"/>
        <v>625</v>
      </c>
      <c r="Q111" s="53">
        <f t="shared" si="45"/>
        <v>-451</v>
      </c>
      <c r="R111" s="53">
        <f t="shared" si="45"/>
        <v>4113</v>
      </c>
      <c r="S111" s="53">
        <f t="shared" si="45"/>
        <v>575</v>
      </c>
      <c r="T111" s="53">
        <f t="shared" si="45"/>
        <v>5268</v>
      </c>
      <c r="U111" s="53">
        <f t="shared" si="45"/>
        <v>565</v>
      </c>
      <c r="V111" s="41"/>
      <c r="W111" s="41"/>
      <c r="X111" s="41"/>
      <c r="Y111" s="41"/>
      <c r="Z111" s="41"/>
      <c r="AA111" s="41"/>
      <c r="AB111" s="41"/>
    </row>
    <row r="112" ht="15.75" customHeight="1">
      <c r="A112" s="41" t="s">
        <v>156</v>
      </c>
      <c r="B112" s="41" t="s">
        <v>157</v>
      </c>
      <c r="C112" s="53">
        <f t="shared" ref="C112:U112" si="46">-C29-C51</f>
        <v>0</v>
      </c>
      <c r="D112" s="53">
        <f t="shared" si="46"/>
        <v>0</v>
      </c>
      <c r="E112" s="53">
        <f t="shared" si="46"/>
        <v>0</v>
      </c>
      <c r="F112" s="53">
        <f t="shared" si="46"/>
        <v>0</v>
      </c>
      <c r="G112" s="53">
        <f t="shared" si="46"/>
        <v>0</v>
      </c>
      <c r="H112" s="53">
        <f t="shared" si="46"/>
        <v>0</v>
      </c>
      <c r="I112" s="53">
        <f t="shared" si="46"/>
        <v>0</v>
      </c>
      <c r="J112" s="53">
        <f t="shared" si="46"/>
        <v>0</v>
      </c>
      <c r="K112" s="53">
        <f t="shared" si="46"/>
        <v>0</v>
      </c>
      <c r="L112" s="53">
        <f t="shared" si="46"/>
        <v>0</v>
      </c>
      <c r="M112" s="53">
        <f t="shared" si="46"/>
        <v>0</v>
      </c>
      <c r="N112" s="53">
        <f t="shared" si="46"/>
        <v>0</v>
      </c>
      <c r="O112" s="53">
        <f t="shared" si="46"/>
        <v>0</v>
      </c>
      <c r="P112" s="53">
        <f t="shared" si="46"/>
        <v>0</v>
      </c>
      <c r="Q112" s="53">
        <f t="shared" si="46"/>
        <v>0</v>
      </c>
      <c r="R112" s="53">
        <f t="shared" si="46"/>
        <v>15479</v>
      </c>
      <c r="S112" s="53">
        <f t="shared" si="46"/>
        <v>0</v>
      </c>
      <c r="T112" s="53">
        <f t="shared" si="46"/>
        <v>0</v>
      </c>
      <c r="U112" s="53">
        <f t="shared" si="46"/>
        <v>0</v>
      </c>
      <c r="V112" s="41"/>
      <c r="W112" s="41"/>
      <c r="X112" s="41"/>
      <c r="Y112" s="41"/>
      <c r="Z112" s="41"/>
      <c r="AA112" s="41"/>
      <c r="AB112" s="41"/>
    </row>
    <row r="113" ht="15.75" customHeight="1">
      <c r="A113" s="41"/>
      <c r="B113" s="41"/>
      <c r="C113" s="53"/>
      <c r="D113" s="53"/>
      <c r="E113" s="53"/>
      <c r="F113" s="53"/>
      <c r="G113" s="53"/>
      <c r="H113" s="53"/>
      <c r="I113" s="53"/>
      <c r="J113" s="53"/>
      <c r="K113" s="53"/>
      <c r="L113" s="53"/>
      <c r="M113" s="53"/>
      <c r="N113" s="53"/>
      <c r="O113" s="53"/>
      <c r="P113" s="53"/>
      <c r="Q113" s="53"/>
      <c r="R113" s="53"/>
      <c r="S113" s="53"/>
      <c r="T113" s="53"/>
      <c r="U113" s="53"/>
      <c r="V113" s="41"/>
      <c r="W113" s="41"/>
      <c r="X113" s="41"/>
      <c r="Y113" s="41"/>
      <c r="Z113" s="41"/>
      <c r="AA113" s="41"/>
      <c r="AB113" s="41"/>
    </row>
    <row r="114" ht="15.75" customHeight="1">
      <c r="A114" s="49" t="s">
        <v>230</v>
      </c>
      <c r="B114" s="50" t="s">
        <v>231</v>
      </c>
      <c r="C114" s="51">
        <f t="shared" ref="C114:U114" si="47">C98+C101+C102+C100</f>
        <v>176958</v>
      </c>
      <c r="D114" s="51">
        <f t="shared" si="47"/>
        <v>176345</v>
      </c>
      <c r="E114" s="51">
        <f t="shared" si="47"/>
        <v>185759</v>
      </c>
      <c r="F114" s="51">
        <f t="shared" si="47"/>
        <v>202701</v>
      </c>
      <c r="G114" s="51">
        <f t="shared" si="47"/>
        <v>218453</v>
      </c>
      <c r="H114" s="51">
        <f t="shared" si="47"/>
        <v>220728</v>
      </c>
      <c r="I114" s="51">
        <f t="shared" si="47"/>
        <v>239987</v>
      </c>
      <c r="J114" s="51">
        <f t="shared" si="47"/>
        <v>230390</v>
      </c>
      <c r="K114" s="51">
        <f t="shared" si="47"/>
        <v>275638</v>
      </c>
      <c r="L114" s="51">
        <f t="shared" si="47"/>
        <v>257952</v>
      </c>
      <c r="M114" s="51">
        <f t="shared" si="47"/>
        <v>282642</v>
      </c>
      <c r="N114" s="51">
        <f t="shared" si="47"/>
        <v>257197</v>
      </c>
      <c r="O114" s="51">
        <f t="shared" si="47"/>
        <v>305906</v>
      </c>
      <c r="P114" s="51">
        <f t="shared" si="47"/>
        <v>294911</v>
      </c>
      <c r="Q114" s="51">
        <f t="shared" si="47"/>
        <v>329853</v>
      </c>
      <c r="R114" s="51">
        <f t="shared" si="47"/>
        <v>340979</v>
      </c>
      <c r="S114" s="51">
        <f t="shared" si="47"/>
        <v>378713</v>
      </c>
      <c r="T114" s="51">
        <f t="shared" si="47"/>
        <v>362824</v>
      </c>
      <c r="U114" s="51">
        <f t="shared" si="47"/>
        <v>404801</v>
      </c>
      <c r="V114" s="41"/>
      <c r="W114" s="41"/>
      <c r="X114" s="41"/>
      <c r="Y114" s="41"/>
      <c r="Z114" s="41"/>
      <c r="AA114" s="41"/>
      <c r="AB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row>
    <row r="116" ht="15.75" customHeight="1">
      <c r="A116" s="56" t="str">
        <f t="shared" ref="A116:U116" si="48">A89</f>
        <v>Lucro Líquido GAAP</v>
      </c>
      <c r="B116" s="56" t="str">
        <f t="shared" si="48"/>
        <v>GAAP Net Income</v>
      </c>
      <c r="C116" s="72">
        <f t="shared" si="48"/>
        <v>80645</v>
      </c>
      <c r="D116" s="72">
        <f t="shared" si="48"/>
        <v>78646</v>
      </c>
      <c r="E116" s="72">
        <f t="shared" si="48"/>
        <v>88917</v>
      </c>
      <c r="F116" s="72">
        <f t="shared" si="48"/>
        <v>120283</v>
      </c>
      <c r="G116" s="72">
        <f t="shared" si="48"/>
        <v>79455</v>
      </c>
      <c r="H116" s="72">
        <f t="shared" si="48"/>
        <v>122393</v>
      </c>
      <c r="I116" s="72">
        <f t="shared" si="48"/>
        <v>148838</v>
      </c>
      <c r="J116" s="72">
        <f t="shared" si="48"/>
        <v>147450</v>
      </c>
      <c r="K116" s="72">
        <f t="shared" si="48"/>
        <v>93108</v>
      </c>
      <c r="L116" s="72">
        <f t="shared" si="48"/>
        <v>94341</v>
      </c>
      <c r="M116" s="72">
        <f t="shared" si="48"/>
        <v>427467</v>
      </c>
      <c r="N116" s="72">
        <f t="shared" si="48"/>
        <v>117645</v>
      </c>
      <c r="O116" s="72">
        <f t="shared" si="48"/>
        <v>126649</v>
      </c>
      <c r="P116" s="72">
        <f t="shared" si="48"/>
        <v>114872</v>
      </c>
      <c r="Q116" s="72">
        <f t="shared" si="48"/>
        <v>290995</v>
      </c>
      <c r="R116" s="72">
        <f t="shared" si="48"/>
        <v>184997</v>
      </c>
      <c r="S116" s="72">
        <f t="shared" si="48"/>
        <v>194647</v>
      </c>
      <c r="T116" s="72">
        <f t="shared" si="48"/>
        <v>188718</v>
      </c>
      <c r="U116" s="72">
        <f t="shared" si="48"/>
        <v>243309</v>
      </c>
      <c r="V116" s="41"/>
      <c r="W116" s="41"/>
      <c r="X116" s="41"/>
      <c r="Y116" s="41"/>
      <c r="Z116" s="41"/>
      <c r="AA116" s="41"/>
      <c r="AB116" s="41"/>
    </row>
    <row r="117" ht="15.75" customHeight="1">
      <c r="A117" s="41" t="s">
        <v>232</v>
      </c>
      <c r="B117" s="52" t="s">
        <v>233</v>
      </c>
      <c r="C117" s="53">
        <f>'Non-GAAP-Techfin-P&amp;L'!C25/2-C84</f>
        <v>1621</v>
      </c>
      <c r="D117" s="53">
        <f>'Non-GAAP-Techfin-P&amp;L'!D25/2-D84</f>
        <v>3218.5</v>
      </c>
      <c r="E117" s="53">
        <f>'Non-GAAP-Techfin-P&amp;L'!E25/2-E84</f>
        <v>3716</v>
      </c>
      <c r="F117" s="53">
        <f>'Non-GAAP-Techfin-P&amp;L'!F25/2-F84</f>
        <v>1785.5</v>
      </c>
      <c r="G117" s="53">
        <f>'Non-GAAP-Techfin-P&amp;L'!G25/2-G84</f>
        <v>5358.5</v>
      </c>
      <c r="H117" s="53">
        <f>'Non-GAAP-Techfin-P&amp;L'!H25/2-H84</f>
        <v>1826.5</v>
      </c>
      <c r="I117" s="53">
        <f>'Non-GAAP-Techfin-P&amp;L'!I25/2-I84</f>
        <v>-6696</v>
      </c>
      <c r="J117" s="53">
        <f>'Non-GAAP-Techfin-P&amp;L'!J25/2-J84</f>
        <v>-1944</v>
      </c>
      <c r="K117" s="53">
        <f>'Non-GAAP-Techfin-P&amp;L'!K25/2-K84</f>
        <v>2797</v>
      </c>
      <c r="L117" s="53">
        <f>'Non-GAAP-Techfin-P&amp;L'!L25/2-L84</f>
        <v>3967.5</v>
      </c>
      <c r="M117" s="53">
        <f>'Non-GAAP-Techfin-P&amp;L'!M25/2-M84-M68</f>
        <v>-239970.5</v>
      </c>
      <c r="N117" s="53">
        <f>'Non-GAAP-Techfin-P&amp;L'!N25/2-N84-N68</f>
        <v>2.5</v>
      </c>
      <c r="O117" s="53">
        <f>'Non-GAAP-Techfin-P&amp;L'!O25/2-O84-O68</f>
        <v>1084.5</v>
      </c>
      <c r="P117" s="53">
        <f>'Non-GAAP-Techfin-P&amp;L'!P25/2-P84-P68</f>
        <v>0.5</v>
      </c>
      <c r="Q117" s="53">
        <f>'Non-GAAP-Techfin-P&amp;L'!Q25/2-Q84-Q68</f>
        <v>0</v>
      </c>
      <c r="R117" s="53">
        <f>'Non-GAAP-Techfin-P&amp;L'!R25/2-R84-R68</f>
        <v>0</v>
      </c>
      <c r="S117" s="53">
        <f>'Non-GAAP-Techfin-P&amp;L'!S25/2-S84-S68</f>
        <v>0</v>
      </c>
      <c r="T117" s="53">
        <f>'Non-GAAP-Techfin-P&amp;L'!T25/2-T84-T68</f>
        <v>-0.5</v>
      </c>
      <c r="U117" s="53">
        <f>'Non-GAAP-Techfin-P&amp;L'!U25/2-U84-U68</f>
        <v>0.5</v>
      </c>
      <c r="V117" s="41"/>
      <c r="W117" s="41"/>
      <c r="X117" s="41"/>
      <c r="Y117" s="41"/>
      <c r="Z117" s="41"/>
      <c r="AA117" s="41"/>
      <c r="AB117" s="41"/>
    </row>
    <row r="118" ht="15.75" customHeight="1">
      <c r="A118" s="41" t="s">
        <v>234</v>
      </c>
      <c r="B118" s="52" t="s">
        <v>235</v>
      </c>
      <c r="C118" s="53">
        <f t="shared" ref="C118:U118" si="49">C93</f>
        <v>0</v>
      </c>
      <c r="D118" s="53">
        <f t="shared" si="49"/>
        <v>0</v>
      </c>
      <c r="E118" s="53">
        <f t="shared" si="49"/>
        <v>0</v>
      </c>
      <c r="F118" s="53">
        <f t="shared" si="49"/>
        <v>0</v>
      </c>
      <c r="G118" s="53">
        <f t="shared" si="49"/>
        <v>0</v>
      </c>
      <c r="H118" s="53">
        <f t="shared" si="49"/>
        <v>0</v>
      </c>
      <c r="I118" s="53">
        <f t="shared" si="49"/>
        <v>0</v>
      </c>
      <c r="J118" s="53">
        <f t="shared" si="49"/>
        <v>0</v>
      </c>
      <c r="K118" s="53">
        <f t="shared" si="49"/>
        <v>0</v>
      </c>
      <c r="L118" s="53">
        <f t="shared" si="49"/>
        <v>0</v>
      </c>
      <c r="M118" s="53">
        <f t="shared" si="49"/>
        <v>0</v>
      </c>
      <c r="N118" s="53">
        <f t="shared" si="49"/>
        <v>0</v>
      </c>
      <c r="O118" s="53">
        <f t="shared" si="49"/>
        <v>-539</v>
      </c>
      <c r="P118" s="53">
        <f t="shared" si="49"/>
        <v>-847</v>
      </c>
      <c r="Q118" s="53">
        <f t="shared" si="49"/>
        <v>-555</v>
      </c>
      <c r="R118" s="53">
        <f t="shared" si="49"/>
        <v>-839</v>
      </c>
      <c r="S118" s="53">
        <f t="shared" si="49"/>
        <v>-151</v>
      </c>
      <c r="T118" s="53">
        <f t="shared" si="49"/>
        <v>-300</v>
      </c>
      <c r="U118" s="53">
        <f t="shared" si="49"/>
        <v>-593</v>
      </c>
      <c r="V118" s="41"/>
      <c r="W118" s="41"/>
      <c r="X118" s="41"/>
      <c r="Y118" s="41"/>
      <c r="Z118" s="41"/>
      <c r="AA118" s="41"/>
      <c r="AB118" s="41"/>
    </row>
    <row r="119" ht="15.75" customHeight="1">
      <c r="A119" s="41" t="s">
        <v>236</v>
      </c>
      <c r="B119" s="52" t="s">
        <v>237</v>
      </c>
      <c r="C119" s="53">
        <v>0.0</v>
      </c>
      <c r="D119" s="53">
        <v>0.0</v>
      </c>
      <c r="E119" s="53">
        <v>0.0</v>
      </c>
      <c r="F119" s="53">
        <v>0.0</v>
      </c>
      <c r="G119" s="53">
        <v>0.0</v>
      </c>
      <c r="H119" s="53">
        <v>0.0</v>
      </c>
      <c r="I119" s="53">
        <v>0.0</v>
      </c>
      <c r="J119" s="53">
        <v>0.0</v>
      </c>
      <c r="K119" s="53">
        <v>0.0</v>
      </c>
      <c r="L119" s="53">
        <v>0.0</v>
      </c>
      <c r="M119" s="53">
        <v>0.0</v>
      </c>
      <c r="N119" s="53">
        <v>0.0</v>
      </c>
      <c r="O119" s="53">
        <v>0.0</v>
      </c>
      <c r="P119" s="53">
        <v>0.0</v>
      </c>
      <c r="Q119" s="53">
        <v>0.0</v>
      </c>
      <c r="R119" s="53">
        <v>0.0</v>
      </c>
      <c r="S119" s="53">
        <v>0.0</v>
      </c>
      <c r="T119" s="53">
        <v>0.0</v>
      </c>
      <c r="U119" s="53">
        <v>-17747.0</v>
      </c>
      <c r="V119" s="41"/>
      <c r="W119" s="41"/>
      <c r="X119" s="41"/>
      <c r="Y119" s="41"/>
      <c r="Z119" s="41"/>
      <c r="AA119" s="41"/>
      <c r="AB119" s="41"/>
    </row>
    <row r="120" ht="15.75" customHeight="1">
      <c r="A120" s="41" t="s">
        <v>238</v>
      </c>
      <c r="B120" s="52" t="s">
        <v>239</v>
      </c>
      <c r="C120" s="53">
        <f t="shared" ref="C120:U120" si="50">C102*66%</f>
        <v>1301.52</v>
      </c>
      <c r="D120" s="53">
        <f t="shared" si="50"/>
        <v>-2467.08</v>
      </c>
      <c r="E120" s="53">
        <f t="shared" si="50"/>
        <v>955.02</v>
      </c>
      <c r="F120" s="53">
        <f t="shared" si="50"/>
        <v>5704.38</v>
      </c>
      <c r="G120" s="53">
        <f t="shared" si="50"/>
        <v>18597.48</v>
      </c>
      <c r="H120" s="53">
        <f t="shared" si="50"/>
        <v>-9100.08</v>
      </c>
      <c r="I120" s="53">
        <f t="shared" si="50"/>
        <v>3483.48</v>
      </c>
      <c r="J120" s="53">
        <f t="shared" si="50"/>
        <v>8081.04</v>
      </c>
      <c r="K120" s="53">
        <f t="shared" si="50"/>
        <v>17141.52</v>
      </c>
      <c r="L120" s="53">
        <f t="shared" si="50"/>
        <v>9661.08</v>
      </c>
      <c r="M120" s="53">
        <f t="shared" si="50"/>
        <v>6054.18</v>
      </c>
      <c r="N120" s="53">
        <f t="shared" si="50"/>
        <v>30460.32</v>
      </c>
      <c r="O120" s="53">
        <f t="shared" si="50"/>
        <v>10011.54</v>
      </c>
      <c r="P120" s="53">
        <f t="shared" si="50"/>
        <v>10517.76</v>
      </c>
      <c r="Q120" s="53">
        <f t="shared" si="50"/>
        <v>-3445.86</v>
      </c>
      <c r="R120" s="53">
        <f t="shared" si="50"/>
        <v>28788.54</v>
      </c>
      <c r="S120" s="53">
        <f t="shared" si="50"/>
        <v>12112.32</v>
      </c>
      <c r="T120" s="53">
        <f t="shared" si="50"/>
        <v>7927.26</v>
      </c>
      <c r="U120" s="53">
        <f t="shared" si="50"/>
        <v>4478.1</v>
      </c>
      <c r="V120" s="41"/>
      <c r="W120" s="41"/>
      <c r="X120" s="41"/>
      <c r="Y120" s="41"/>
      <c r="Z120" s="41"/>
      <c r="AA120" s="41"/>
      <c r="AB120" s="41"/>
    </row>
    <row r="121" ht="15.75" customHeight="1">
      <c r="A121" s="41" t="s">
        <v>240</v>
      </c>
      <c r="B121" s="52" t="s">
        <v>241</v>
      </c>
      <c r="C121" s="53">
        <f>-'Non-GAAP-Techfin-P&amp;L'!C19*66%/2</f>
        <v>0</v>
      </c>
      <c r="D121" s="53">
        <f>-'Non-GAAP-Techfin-P&amp;L'!D19*66%/2</f>
        <v>0</v>
      </c>
      <c r="E121" s="53">
        <f>-'Non-GAAP-Techfin-P&amp;L'!E19*66%/2</f>
        <v>0</v>
      </c>
      <c r="F121" s="53">
        <f>-'Non-GAAP-Techfin-P&amp;L'!F19*66%/2</f>
        <v>0</v>
      </c>
      <c r="G121" s="53">
        <f>-'Non-GAAP-Techfin-P&amp;L'!G19*66%/2</f>
        <v>0</v>
      </c>
      <c r="H121" s="53">
        <f>-'Non-GAAP-Techfin-P&amp;L'!H19*66%/2</f>
        <v>0</v>
      </c>
      <c r="I121" s="53">
        <f>-'Non-GAAP-Techfin-P&amp;L'!I19*66%/2</f>
        <v>0</v>
      </c>
      <c r="J121" s="53">
        <f>-'Non-GAAP-Techfin-P&amp;L'!J19*66%/2</f>
        <v>0</v>
      </c>
      <c r="K121" s="53">
        <f>-'Non-GAAP-Techfin-P&amp;L'!K19*66%/2</f>
        <v>0</v>
      </c>
      <c r="L121" s="53">
        <f>-'Non-GAAP-Techfin-P&amp;L'!L19*66%/2</f>
        <v>0</v>
      </c>
      <c r="M121" s="53">
        <f>-'Non-GAAP-Techfin-P&amp;L'!M19*66%/2</f>
        <v>0</v>
      </c>
      <c r="N121" s="53">
        <f>-'Non-GAAP-Techfin-P&amp;L'!N19*66%/2</f>
        <v>0</v>
      </c>
      <c r="O121" s="53">
        <f>-'Non-GAAP-Techfin-P&amp;L'!O19*66%/2</f>
        <v>873.18</v>
      </c>
      <c r="P121" s="53">
        <f>-'Non-GAAP-Techfin-P&amp;L'!P19*66%/2</f>
        <v>0</v>
      </c>
      <c r="Q121" s="53">
        <f>-'Non-GAAP-Techfin-P&amp;L'!Q19*66%/2</f>
        <v>0</v>
      </c>
      <c r="R121" s="53">
        <f>-'Non-GAAP-Techfin-P&amp;L'!R19*66%/2</f>
        <v>959.66244</v>
      </c>
      <c r="S121" s="53">
        <f>-'Non-GAAP-Techfin-P&amp;L'!S19*66%/2</f>
        <v>0</v>
      </c>
      <c r="T121" s="53">
        <f>-'Non-GAAP-Techfin-P&amp;L'!T19*66%/2</f>
        <v>0</v>
      </c>
      <c r="U121" s="53">
        <f>-'Non-GAAP-Techfin-P&amp;L'!U19*66%/2</f>
        <v>0</v>
      </c>
      <c r="V121" s="41"/>
      <c r="W121" s="41"/>
      <c r="X121" s="41"/>
      <c r="Y121" s="41"/>
      <c r="Z121" s="41"/>
      <c r="AA121" s="41"/>
      <c r="AB121" s="41"/>
    </row>
    <row r="122" ht="15.75" customHeight="1">
      <c r="A122" s="41" t="s">
        <v>242</v>
      </c>
      <c r="B122" s="52" t="s">
        <v>243</v>
      </c>
      <c r="C122" s="53">
        <f t="shared" ref="C122:U122" si="51">C125+(C123+C124)*66%</f>
        <v>0</v>
      </c>
      <c r="D122" s="53">
        <f t="shared" si="51"/>
        <v>0</v>
      </c>
      <c r="E122" s="53">
        <f t="shared" si="51"/>
        <v>0</v>
      </c>
      <c r="F122" s="53">
        <f t="shared" si="51"/>
        <v>16.5</v>
      </c>
      <c r="G122" s="53">
        <f t="shared" si="51"/>
        <v>0</v>
      </c>
      <c r="H122" s="53">
        <f t="shared" si="51"/>
        <v>-9700.68</v>
      </c>
      <c r="I122" s="53">
        <f t="shared" si="51"/>
        <v>0</v>
      </c>
      <c r="J122" s="53">
        <f t="shared" si="51"/>
        <v>-6055.5</v>
      </c>
      <c r="K122" s="53">
        <f t="shared" si="51"/>
        <v>1085.7</v>
      </c>
      <c r="L122" s="53">
        <f t="shared" si="51"/>
        <v>0</v>
      </c>
      <c r="M122" s="53">
        <f t="shared" si="51"/>
        <v>-956.34</v>
      </c>
      <c r="N122" s="53">
        <f t="shared" si="51"/>
        <v>31.68</v>
      </c>
      <c r="O122" s="53">
        <f t="shared" si="51"/>
        <v>29.04</v>
      </c>
      <c r="P122" s="53">
        <f t="shared" si="51"/>
        <v>-1637.46</v>
      </c>
      <c r="Q122" s="53">
        <f t="shared" si="51"/>
        <v>-87124.88</v>
      </c>
      <c r="R122" s="53">
        <f t="shared" si="51"/>
        <v>-489.72</v>
      </c>
      <c r="S122" s="53">
        <f t="shared" si="51"/>
        <v>-157.74</v>
      </c>
      <c r="T122" s="53">
        <f t="shared" si="51"/>
        <v>0</v>
      </c>
      <c r="U122" s="53">
        <f t="shared" si="51"/>
        <v>29.04</v>
      </c>
      <c r="V122" s="41"/>
      <c r="W122" s="41"/>
      <c r="X122" s="41"/>
      <c r="Y122" s="41"/>
      <c r="Z122" s="41"/>
      <c r="AA122" s="41"/>
      <c r="AB122" s="41"/>
    </row>
    <row r="123" ht="15.75" customHeight="1">
      <c r="A123" s="73" t="s">
        <v>244</v>
      </c>
      <c r="B123" s="74" t="s">
        <v>245</v>
      </c>
      <c r="C123" s="75">
        <v>0.0</v>
      </c>
      <c r="D123" s="75">
        <v>0.0</v>
      </c>
      <c r="E123" s="75">
        <v>0.0</v>
      </c>
      <c r="F123" s="75">
        <v>0.0</v>
      </c>
      <c r="G123" s="75">
        <v>0.0</v>
      </c>
      <c r="H123" s="75">
        <v>-14698.0</v>
      </c>
      <c r="I123" s="75">
        <v>0.0</v>
      </c>
      <c r="J123" s="75">
        <v>1095.0</v>
      </c>
      <c r="K123" s="75">
        <v>0.0</v>
      </c>
      <c r="L123" s="75">
        <v>0.0</v>
      </c>
      <c r="M123" s="75">
        <v>0.0</v>
      </c>
      <c r="N123" s="75">
        <v>0.0</v>
      </c>
      <c r="O123" s="75">
        <v>0.0</v>
      </c>
      <c r="P123" s="75">
        <v>0.0</v>
      </c>
      <c r="Q123" s="75">
        <v>0.0</v>
      </c>
      <c r="R123" s="75">
        <v>0.0</v>
      </c>
      <c r="S123" s="75">
        <v>0.0</v>
      </c>
      <c r="T123" s="75">
        <v>0.0</v>
      </c>
      <c r="U123" s="75">
        <v>0.0</v>
      </c>
      <c r="V123" s="41"/>
      <c r="W123" s="41"/>
      <c r="X123" s="41"/>
      <c r="Y123" s="41"/>
      <c r="Z123" s="41"/>
      <c r="AA123" s="41"/>
      <c r="AB123" s="41"/>
    </row>
    <row r="124" ht="15.75" customHeight="1">
      <c r="A124" s="73" t="s">
        <v>246</v>
      </c>
      <c r="B124" s="74" t="s">
        <v>247</v>
      </c>
      <c r="C124" s="75">
        <v>0.0</v>
      </c>
      <c r="D124" s="75">
        <v>0.0</v>
      </c>
      <c r="E124" s="75">
        <v>0.0</v>
      </c>
      <c r="F124" s="75">
        <v>25.0</v>
      </c>
      <c r="G124" s="75">
        <v>0.0</v>
      </c>
      <c r="H124" s="75">
        <v>0.0</v>
      </c>
      <c r="I124" s="75">
        <v>0.0</v>
      </c>
      <c r="J124" s="75">
        <v>-10270.0</v>
      </c>
      <c r="K124" s="75">
        <v>1645.0</v>
      </c>
      <c r="L124" s="75">
        <v>0.0</v>
      </c>
      <c r="M124" s="75">
        <v>-1449.0</v>
      </c>
      <c r="N124" s="75">
        <v>48.0</v>
      </c>
      <c r="O124" s="75">
        <v>44.0</v>
      </c>
      <c r="P124" s="75">
        <v>-2481.0</v>
      </c>
      <c r="Q124" s="75">
        <v>5732.0</v>
      </c>
      <c r="R124" s="75">
        <v>-742.0</v>
      </c>
      <c r="S124" s="75">
        <v>-239.0</v>
      </c>
      <c r="T124" s="75">
        <v>0.0</v>
      </c>
      <c r="U124" s="75">
        <v>44.0</v>
      </c>
      <c r="V124" s="41"/>
      <c r="W124" s="41"/>
      <c r="X124" s="41"/>
      <c r="Y124" s="41"/>
      <c r="Z124" s="41"/>
      <c r="AA124" s="41"/>
      <c r="AB124" s="41"/>
    </row>
    <row r="125" ht="15.75" customHeight="1">
      <c r="A125" s="73" t="s">
        <v>248</v>
      </c>
      <c r="B125" s="74" t="s">
        <v>249</v>
      </c>
      <c r="C125" s="75">
        <v>0.0</v>
      </c>
      <c r="D125" s="75">
        <v>0.0</v>
      </c>
      <c r="E125" s="75">
        <v>0.0</v>
      </c>
      <c r="F125" s="75">
        <v>0.0</v>
      </c>
      <c r="G125" s="75">
        <v>0.0</v>
      </c>
      <c r="H125" s="75">
        <v>0.0</v>
      </c>
      <c r="I125" s="75">
        <v>0.0</v>
      </c>
      <c r="J125" s="75">
        <v>0.0</v>
      </c>
      <c r="K125" s="75">
        <v>0.0</v>
      </c>
      <c r="L125" s="75">
        <v>0.0</v>
      </c>
      <c r="M125" s="75">
        <v>0.0</v>
      </c>
      <c r="N125" s="75">
        <v>0.0</v>
      </c>
      <c r="O125" s="75">
        <v>0.0</v>
      </c>
      <c r="P125" s="75">
        <v>0.0</v>
      </c>
      <c r="Q125" s="75">
        <v>-90908.0</v>
      </c>
      <c r="R125" s="75">
        <v>0.0</v>
      </c>
      <c r="S125" s="75">
        <v>0.0</v>
      </c>
      <c r="T125" s="75">
        <v>0.0</v>
      </c>
      <c r="U125" s="75">
        <v>0.0</v>
      </c>
      <c r="V125" s="41"/>
      <c r="W125" s="41"/>
      <c r="X125" s="41"/>
      <c r="Y125" s="41"/>
      <c r="Z125" s="41"/>
      <c r="AA125" s="41"/>
      <c r="AB125" s="41"/>
    </row>
    <row r="126" ht="15.75" customHeight="1">
      <c r="A126" s="41" t="s">
        <v>250</v>
      </c>
      <c r="B126" s="52" t="s">
        <v>251</v>
      </c>
      <c r="C126" s="53">
        <v>0.0</v>
      </c>
      <c r="D126" s="53">
        <v>0.0</v>
      </c>
      <c r="E126" s="53">
        <v>0.0</v>
      </c>
      <c r="F126" s="53">
        <v>3171.96</v>
      </c>
      <c r="G126" s="53">
        <v>4837.8</v>
      </c>
      <c r="H126" s="53">
        <v>4934.820000000001</v>
      </c>
      <c r="I126" s="53">
        <v>5033.16</v>
      </c>
      <c r="J126" s="53">
        <v>-3711.1800000000003</v>
      </c>
      <c r="K126" s="53">
        <v>4910.400000000001</v>
      </c>
      <c r="L126" s="53">
        <v>5006.1</v>
      </c>
      <c r="M126" s="53">
        <v>4154.04</v>
      </c>
      <c r="N126" s="53">
        <v>5498.46</v>
      </c>
      <c r="O126" s="53">
        <v>5611.9800000000005</v>
      </c>
      <c r="P126" s="53">
        <v>2241.36</v>
      </c>
      <c r="Q126" s="53">
        <v>7086.42</v>
      </c>
      <c r="R126" s="53">
        <v>6256.8</v>
      </c>
      <c r="S126" s="53">
        <v>6272.64</v>
      </c>
      <c r="T126" s="53">
        <v>7446.780000000001</v>
      </c>
      <c r="U126" s="53">
        <v>4812.72</v>
      </c>
      <c r="V126" s="41"/>
      <c r="W126" s="41"/>
      <c r="X126" s="41"/>
      <c r="Y126" s="41"/>
      <c r="Z126" s="41"/>
      <c r="AA126" s="41"/>
      <c r="AB126" s="41"/>
    </row>
    <row r="127" ht="15.75" customHeight="1">
      <c r="A127" s="41" t="s">
        <v>252</v>
      </c>
      <c r="B127" s="41" t="s">
        <v>253</v>
      </c>
      <c r="C127" s="53">
        <f t="shared" ref="C127:U127" si="52">(C128+C129/2)*66%</f>
        <v>9937.95</v>
      </c>
      <c r="D127" s="53">
        <f t="shared" si="52"/>
        <v>10207.23</v>
      </c>
      <c r="E127" s="53">
        <f t="shared" si="52"/>
        <v>16565.01</v>
      </c>
      <c r="F127" s="53">
        <f t="shared" si="52"/>
        <v>14966.49</v>
      </c>
      <c r="G127" s="53">
        <f t="shared" si="52"/>
        <v>14516.7</v>
      </c>
      <c r="H127" s="53">
        <f t="shared" si="52"/>
        <v>13784.1</v>
      </c>
      <c r="I127" s="53">
        <f t="shared" si="52"/>
        <v>14131.92</v>
      </c>
      <c r="J127" s="53">
        <f t="shared" si="52"/>
        <v>14044.14</v>
      </c>
      <c r="K127" s="53">
        <f t="shared" si="52"/>
        <v>14374.8</v>
      </c>
      <c r="L127" s="53">
        <f t="shared" si="52"/>
        <v>14859.9</v>
      </c>
      <c r="M127" s="53">
        <f t="shared" si="52"/>
        <v>13958.34</v>
      </c>
      <c r="N127" s="53">
        <f t="shared" si="52"/>
        <v>13746.48</v>
      </c>
      <c r="O127" s="53">
        <f t="shared" si="52"/>
        <v>14735.82</v>
      </c>
      <c r="P127" s="53">
        <f t="shared" si="52"/>
        <v>19462.74</v>
      </c>
      <c r="Q127" s="53">
        <f t="shared" si="52"/>
        <v>18588.24</v>
      </c>
      <c r="R127" s="53">
        <f t="shared" si="52"/>
        <v>16269.66</v>
      </c>
      <c r="S127" s="53">
        <f t="shared" si="52"/>
        <v>14980.02</v>
      </c>
      <c r="T127" s="53">
        <f t="shared" si="52"/>
        <v>14488.32</v>
      </c>
      <c r="U127" s="53">
        <f t="shared" si="52"/>
        <v>14365.56</v>
      </c>
      <c r="V127" s="41"/>
      <c r="W127" s="41"/>
      <c r="X127" s="41"/>
      <c r="Y127" s="41"/>
      <c r="Z127" s="41"/>
      <c r="AA127" s="41"/>
      <c r="AB127" s="41"/>
    </row>
    <row r="128" ht="15.75" customHeight="1">
      <c r="A128" s="73" t="s">
        <v>254</v>
      </c>
      <c r="B128" s="73" t="s">
        <v>255</v>
      </c>
      <c r="C128" s="75">
        <v>7786.0</v>
      </c>
      <c r="D128" s="75">
        <v>8194.0</v>
      </c>
      <c r="E128" s="75">
        <v>17827.0</v>
      </c>
      <c r="F128" s="75">
        <v>15405.0</v>
      </c>
      <c r="G128" s="75">
        <v>15859.0</v>
      </c>
      <c r="H128" s="75">
        <v>16158.0</v>
      </c>
      <c r="I128" s="75">
        <v>17452.0</v>
      </c>
      <c r="J128" s="75">
        <v>17319.0</v>
      </c>
      <c r="K128" s="75">
        <v>17820.0</v>
      </c>
      <c r="L128" s="75">
        <v>18555.0</v>
      </c>
      <c r="M128" s="75">
        <v>17189.0</v>
      </c>
      <c r="N128" s="75">
        <v>16868.0</v>
      </c>
      <c r="O128" s="75">
        <v>18367.0</v>
      </c>
      <c r="P128" s="75">
        <v>25529.0</v>
      </c>
      <c r="Q128" s="75">
        <v>24204.0</v>
      </c>
      <c r="R128" s="75">
        <v>20691.0</v>
      </c>
      <c r="S128" s="75">
        <v>21752.0</v>
      </c>
      <c r="T128" s="75">
        <v>21007.0</v>
      </c>
      <c r="U128" s="75">
        <v>20821.0</v>
      </c>
      <c r="V128" s="41"/>
      <c r="W128" s="41"/>
      <c r="X128" s="41"/>
      <c r="Y128" s="41"/>
      <c r="Z128" s="41"/>
      <c r="AA128" s="41"/>
      <c r="AB128" s="41"/>
    </row>
    <row r="129" ht="15.75" customHeight="1">
      <c r="A129" s="73" t="s">
        <v>256</v>
      </c>
      <c r="B129" s="73" t="s">
        <v>257</v>
      </c>
      <c r="C129" s="75">
        <v>14543.0</v>
      </c>
      <c r="D129" s="75">
        <v>14543.0</v>
      </c>
      <c r="E129" s="75">
        <v>14543.0</v>
      </c>
      <c r="F129" s="75">
        <v>14543.0</v>
      </c>
      <c r="G129" s="75">
        <v>12272.0</v>
      </c>
      <c r="H129" s="75">
        <v>9454.0</v>
      </c>
      <c r="I129" s="75">
        <v>7920.0</v>
      </c>
      <c r="J129" s="75">
        <v>7920.0</v>
      </c>
      <c r="K129" s="75">
        <v>7920.0</v>
      </c>
      <c r="L129" s="75">
        <v>7920.0</v>
      </c>
      <c r="M129" s="75">
        <v>7920.0</v>
      </c>
      <c r="N129" s="75">
        <v>7920.0</v>
      </c>
      <c r="O129" s="75">
        <v>7920.0</v>
      </c>
      <c r="P129" s="75">
        <v>7920.0</v>
      </c>
      <c r="Q129" s="75">
        <v>7920.0</v>
      </c>
      <c r="R129" s="75">
        <v>7920.0</v>
      </c>
      <c r="S129" s="75">
        <v>1890.0</v>
      </c>
      <c r="T129" s="75">
        <v>1890.0</v>
      </c>
      <c r="U129" s="75">
        <v>1890.0</v>
      </c>
      <c r="V129" s="41"/>
      <c r="W129" s="41"/>
      <c r="X129" s="41"/>
      <c r="Y129" s="41"/>
      <c r="Z129" s="41"/>
      <c r="AA129" s="41"/>
      <c r="AB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row>
    <row r="131" ht="15.75" customHeight="1">
      <c r="A131" s="49" t="s">
        <v>258</v>
      </c>
      <c r="B131" s="50" t="s">
        <v>259</v>
      </c>
      <c r="C131" s="51">
        <f t="shared" ref="C131:T131" si="53">C116+C117+C118+C120+C121+C122+C126+C127</f>
        <v>93505.47</v>
      </c>
      <c r="D131" s="51">
        <f t="shared" si="53"/>
        <v>89604.65</v>
      </c>
      <c r="E131" s="51">
        <f t="shared" si="53"/>
        <v>110153.03</v>
      </c>
      <c r="F131" s="51">
        <f t="shared" si="53"/>
        <v>145927.83</v>
      </c>
      <c r="G131" s="51">
        <f t="shared" si="53"/>
        <v>122765.48</v>
      </c>
      <c r="H131" s="51">
        <f t="shared" si="53"/>
        <v>124137.66</v>
      </c>
      <c r="I131" s="51">
        <f t="shared" si="53"/>
        <v>164790.56</v>
      </c>
      <c r="J131" s="51">
        <f t="shared" si="53"/>
        <v>157864.5</v>
      </c>
      <c r="K131" s="51">
        <f t="shared" si="53"/>
        <v>133417.42</v>
      </c>
      <c r="L131" s="51">
        <f t="shared" si="53"/>
        <v>127835.58</v>
      </c>
      <c r="M131" s="51">
        <f t="shared" si="53"/>
        <v>210706.72</v>
      </c>
      <c r="N131" s="51">
        <f t="shared" si="53"/>
        <v>167384.44</v>
      </c>
      <c r="O131" s="51">
        <f t="shared" si="53"/>
        <v>158456.06</v>
      </c>
      <c r="P131" s="51">
        <f t="shared" si="53"/>
        <v>144609.9</v>
      </c>
      <c r="Q131" s="51">
        <f t="shared" si="53"/>
        <v>225543.92</v>
      </c>
      <c r="R131" s="51">
        <f t="shared" si="53"/>
        <v>235942.9424</v>
      </c>
      <c r="S131" s="51">
        <f t="shared" si="53"/>
        <v>227703.24</v>
      </c>
      <c r="T131" s="51">
        <f t="shared" si="53"/>
        <v>218279.86</v>
      </c>
      <c r="U131" s="51">
        <f>U116+U117+U118+U120+U121+U122+U126+U127+U119</f>
        <v>248654.92</v>
      </c>
      <c r="V131" s="41"/>
      <c r="W131" s="41"/>
      <c r="X131" s="41"/>
      <c r="Y131" s="41"/>
      <c r="Z131" s="41"/>
      <c r="AA131" s="41"/>
      <c r="AB131" s="41"/>
    </row>
    <row r="132" ht="15.75" customHeight="1">
      <c r="A132" s="41"/>
      <c r="B132" s="41"/>
      <c r="C132" s="69"/>
      <c r="D132" s="69"/>
      <c r="E132" s="69"/>
      <c r="F132" s="69"/>
      <c r="G132" s="69"/>
      <c r="H132" s="69"/>
      <c r="I132" s="69"/>
      <c r="J132" s="69"/>
      <c r="K132" s="69"/>
      <c r="L132" s="69"/>
      <c r="M132" s="69"/>
      <c r="N132" s="69"/>
      <c r="O132" s="69"/>
      <c r="P132" s="69"/>
      <c r="Q132" s="69"/>
      <c r="R132" s="69"/>
      <c r="S132" s="69"/>
      <c r="T132" s="69"/>
      <c r="U132" s="40"/>
      <c r="V132" s="41"/>
      <c r="W132" s="41"/>
      <c r="X132" s="41"/>
      <c r="Y132" s="41"/>
      <c r="Z132" s="41"/>
      <c r="AA132" s="41"/>
      <c r="AB132" s="41"/>
    </row>
    <row r="133" ht="15.75" customHeight="1">
      <c r="A133" s="49" t="s">
        <v>260</v>
      </c>
      <c r="B133" s="50" t="s">
        <v>260</v>
      </c>
      <c r="C133" s="51">
        <f t="shared" ref="C133:U133" si="54">C131-(C72+C123+C124)*66%-C126</f>
        <v>99017.13</v>
      </c>
      <c r="D133" s="51">
        <f t="shared" si="54"/>
        <v>98397.83</v>
      </c>
      <c r="E133" s="51">
        <f t="shared" si="54"/>
        <v>132623.39</v>
      </c>
      <c r="F133" s="51">
        <f t="shared" si="54"/>
        <v>141738.81</v>
      </c>
      <c r="G133" s="51">
        <f t="shared" si="54"/>
        <v>118391</v>
      </c>
      <c r="H133" s="51">
        <f t="shared" si="54"/>
        <v>120006.06</v>
      </c>
      <c r="I133" s="51">
        <f t="shared" si="54"/>
        <v>157903.46</v>
      </c>
      <c r="J133" s="51">
        <f t="shared" si="54"/>
        <v>164376.06</v>
      </c>
      <c r="K133" s="51">
        <f t="shared" si="54"/>
        <v>141037.78</v>
      </c>
      <c r="L133" s="51">
        <f t="shared" si="54"/>
        <v>125272.8</v>
      </c>
      <c r="M133" s="51">
        <f t="shared" si="54"/>
        <v>202242.88</v>
      </c>
      <c r="N133" s="51">
        <f t="shared" si="54"/>
        <v>162639.7</v>
      </c>
      <c r="O133" s="51">
        <f t="shared" si="54"/>
        <v>155913.74</v>
      </c>
      <c r="P133" s="51">
        <f t="shared" si="54"/>
        <v>150371.04</v>
      </c>
      <c r="Q133" s="51">
        <f t="shared" si="54"/>
        <v>227756.24</v>
      </c>
      <c r="R133" s="51">
        <f t="shared" si="54"/>
        <v>240244.8224</v>
      </c>
      <c r="S133" s="51">
        <f t="shared" si="54"/>
        <v>234360.66</v>
      </c>
      <c r="T133" s="51">
        <f t="shared" si="54"/>
        <v>223459.54</v>
      </c>
      <c r="U133" s="51">
        <f t="shared" si="54"/>
        <v>244482.4</v>
      </c>
      <c r="V133" s="41"/>
      <c r="W133" s="41"/>
      <c r="X133" s="41"/>
      <c r="Y133" s="41"/>
      <c r="Z133" s="41"/>
      <c r="AA133" s="41"/>
      <c r="AB133" s="41"/>
    </row>
    <row r="134" ht="15.75" customHeight="1">
      <c r="A134" s="41"/>
      <c r="B134" s="41"/>
      <c r="C134" s="41"/>
      <c r="D134" s="41"/>
      <c r="E134" s="41"/>
      <c r="F134" s="41"/>
      <c r="G134" s="41"/>
      <c r="H134" s="41"/>
      <c r="I134" s="41"/>
      <c r="J134" s="41"/>
      <c r="K134" s="41"/>
      <c r="L134" s="41"/>
      <c r="M134" s="41"/>
      <c r="N134" s="41"/>
      <c r="O134" s="69"/>
      <c r="P134" s="69"/>
      <c r="Q134" s="69"/>
      <c r="R134" s="69"/>
      <c r="S134" s="69"/>
      <c r="T134" s="69"/>
      <c r="U134" s="41"/>
      <c r="V134" s="41"/>
      <c r="W134" s="41"/>
      <c r="X134" s="41"/>
      <c r="Y134" s="41"/>
      <c r="Z134" s="41"/>
      <c r="AA134" s="41"/>
      <c r="AB134" s="41"/>
    </row>
    <row r="135" ht="15.75" customHeight="1">
      <c r="A135" s="41"/>
      <c r="B135" s="41"/>
      <c r="C135" s="76"/>
      <c r="D135" s="76"/>
      <c r="E135" s="76"/>
      <c r="F135" s="76"/>
      <c r="G135" s="76"/>
      <c r="H135" s="76"/>
      <c r="I135" s="76"/>
      <c r="J135" s="76"/>
      <c r="K135" s="76"/>
      <c r="L135" s="76"/>
      <c r="M135" s="76"/>
      <c r="N135" s="76"/>
      <c r="O135" s="76"/>
      <c r="P135" s="76"/>
      <c r="Q135" s="40"/>
      <c r="R135" s="40"/>
      <c r="S135" s="40"/>
      <c r="T135" s="40"/>
      <c r="U135" s="40"/>
      <c r="V135" s="41"/>
      <c r="W135" s="41"/>
      <c r="X135" s="41"/>
      <c r="Y135" s="41"/>
      <c r="Z135" s="41"/>
      <c r="AA135" s="41"/>
      <c r="AB135" s="41"/>
    </row>
    <row r="136" ht="15.75" customHeight="1">
      <c r="A136" s="41"/>
      <c r="B136" s="41"/>
      <c r="C136" s="41"/>
      <c r="D136" s="41"/>
      <c r="E136" s="41"/>
      <c r="F136" s="41"/>
      <c r="G136" s="41"/>
      <c r="H136" s="41"/>
      <c r="I136" s="41"/>
      <c r="J136" s="40"/>
      <c r="K136" s="41"/>
      <c r="L136" s="41"/>
      <c r="M136" s="41"/>
      <c r="N136" s="40"/>
      <c r="O136" s="41"/>
      <c r="P136" s="40"/>
      <c r="Q136" s="40"/>
      <c r="R136" s="40"/>
      <c r="S136" s="40"/>
      <c r="T136" s="40"/>
      <c r="U136" s="40"/>
      <c r="V136" s="41"/>
      <c r="W136" s="41"/>
      <c r="X136" s="41"/>
      <c r="Y136" s="41"/>
      <c r="Z136" s="41"/>
      <c r="AA136" s="41"/>
      <c r="AB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row>
    <row r="138" ht="15.75" customHeight="1">
      <c r="A138" s="41"/>
      <c r="B138" s="41"/>
      <c r="C138" s="41"/>
      <c r="D138" s="41"/>
      <c r="E138" s="41"/>
      <c r="F138" s="41"/>
      <c r="G138" s="41"/>
      <c r="H138" s="41"/>
      <c r="I138" s="41"/>
      <c r="J138" s="40"/>
      <c r="K138" s="41"/>
      <c r="L138" s="41"/>
      <c r="M138" s="41"/>
      <c r="N138" s="40"/>
      <c r="O138" s="41"/>
      <c r="P138" s="40"/>
      <c r="Q138" s="40"/>
      <c r="R138" s="40"/>
      <c r="S138" s="40"/>
      <c r="T138" s="40"/>
      <c r="U138" s="40"/>
      <c r="V138" s="41"/>
      <c r="W138" s="41"/>
      <c r="X138" s="41"/>
      <c r="Y138" s="41"/>
      <c r="Z138" s="41"/>
      <c r="AA138" s="41"/>
      <c r="AB138" s="41"/>
    </row>
    <row r="139" ht="15.75" customHeight="1">
      <c r="A139" s="41"/>
      <c r="B139" s="41"/>
      <c r="C139" s="41"/>
      <c r="D139" s="41"/>
      <c r="E139" s="41"/>
      <c r="F139" s="41"/>
      <c r="G139" s="41"/>
      <c r="H139" s="41"/>
      <c r="I139" s="41"/>
      <c r="J139" s="40"/>
      <c r="K139" s="41"/>
      <c r="L139" s="41"/>
      <c r="M139" s="41"/>
      <c r="N139" s="40"/>
      <c r="O139" s="41"/>
      <c r="P139" s="40"/>
      <c r="Q139" s="40"/>
      <c r="R139" s="40"/>
      <c r="S139" s="40"/>
      <c r="T139" s="40"/>
      <c r="U139" s="40"/>
      <c r="V139" s="41"/>
      <c r="W139" s="41"/>
      <c r="X139" s="41"/>
      <c r="Y139" s="41"/>
      <c r="Z139" s="41"/>
      <c r="AA139" s="41"/>
      <c r="AB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 width="35.43"/>
    <col customWidth="1" min="3" max="33" width="13.0"/>
    <col customWidth="1" min="34" max="35" width="11.0"/>
  </cols>
  <sheetData>
    <row r="1">
      <c r="A1" s="13" t="s">
        <v>25</v>
      </c>
      <c r="B1" s="21" t="s">
        <v>26</v>
      </c>
      <c r="C1" s="41"/>
      <c r="O1" s="41"/>
      <c r="P1" s="41"/>
      <c r="Q1" s="41"/>
      <c r="R1" s="41"/>
      <c r="S1" s="41"/>
      <c r="T1" s="41"/>
      <c r="U1" s="41"/>
      <c r="V1" s="41"/>
      <c r="W1" s="41"/>
      <c r="X1" s="41"/>
      <c r="Y1" s="41"/>
      <c r="Z1" s="41"/>
      <c r="AA1" s="41"/>
      <c r="AB1" s="41"/>
      <c r="AC1" s="41"/>
      <c r="AD1" s="41"/>
      <c r="AE1" s="41"/>
      <c r="AF1" s="41"/>
      <c r="AG1" s="41"/>
      <c r="AH1" s="41"/>
      <c r="AI1" s="41"/>
    </row>
    <row r="2" ht="12.75" customHeight="1">
      <c r="A2" s="42" t="s">
        <v>261</v>
      </c>
      <c r="B2" s="43" t="s">
        <v>262</v>
      </c>
      <c r="C2" s="77" t="s">
        <v>263</v>
      </c>
      <c r="D2" s="77" t="s">
        <v>264</v>
      </c>
      <c r="E2" s="77" t="s">
        <v>265</v>
      </c>
      <c r="F2" s="77" t="s">
        <v>266</v>
      </c>
      <c r="G2" s="77" t="s">
        <v>267</v>
      </c>
      <c r="H2" s="77" t="s">
        <v>268</v>
      </c>
      <c r="I2" s="77" t="s">
        <v>269</v>
      </c>
      <c r="J2" s="77" t="s">
        <v>270</v>
      </c>
      <c r="K2" s="77" t="s">
        <v>271</v>
      </c>
      <c r="L2" s="77" t="s">
        <v>272</v>
      </c>
      <c r="M2" s="77" t="s">
        <v>273</v>
      </c>
      <c r="N2" s="77" t="s">
        <v>274</v>
      </c>
      <c r="O2" s="77" t="s">
        <v>29</v>
      </c>
      <c r="P2" s="77" t="s">
        <v>30</v>
      </c>
      <c r="Q2" s="77" t="s">
        <v>31</v>
      </c>
      <c r="R2" s="77" t="s">
        <v>32</v>
      </c>
      <c r="S2" s="77" t="s">
        <v>33</v>
      </c>
      <c r="T2" s="77" t="s">
        <v>34</v>
      </c>
      <c r="U2" s="77" t="s">
        <v>35</v>
      </c>
      <c r="V2" s="77" t="s">
        <v>36</v>
      </c>
      <c r="W2" s="77" t="s">
        <v>37</v>
      </c>
      <c r="X2" s="77" t="s">
        <v>38</v>
      </c>
      <c r="Y2" s="77" t="s">
        <v>39</v>
      </c>
      <c r="Z2" s="77" t="s">
        <v>40</v>
      </c>
      <c r="AA2" s="77" t="s">
        <v>41</v>
      </c>
      <c r="AB2" s="77" t="s">
        <v>42</v>
      </c>
      <c r="AC2" s="77" t="s">
        <v>43</v>
      </c>
      <c r="AD2" s="77" t="s">
        <v>44</v>
      </c>
      <c r="AE2" s="77" t="s">
        <v>45</v>
      </c>
      <c r="AF2" s="77" t="s">
        <v>46</v>
      </c>
      <c r="AG2" s="77" t="s">
        <v>47</v>
      </c>
      <c r="AH2" s="41"/>
      <c r="AI2" s="41"/>
    </row>
    <row r="3" ht="12.75" customHeight="1">
      <c r="A3" s="78"/>
      <c r="B3" s="78"/>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row>
    <row r="4" ht="12.75" customHeight="1">
      <c r="A4" s="79" t="s">
        <v>275</v>
      </c>
      <c r="B4" s="80" t="s">
        <v>276</v>
      </c>
      <c r="C4" s="81">
        <f t="shared" ref="C4:AG4" si="1">C5+C16</f>
        <v>2465242</v>
      </c>
      <c r="D4" s="81">
        <f t="shared" si="1"/>
        <v>2470229</v>
      </c>
      <c r="E4" s="81">
        <f t="shared" si="1"/>
        <v>2492641</v>
      </c>
      <c r="F4" s="81">
        <f t="shared" si="1"/>
        <v>2391277</v>
      </c>
      <c r="G4" s="81">
        <f t="shared" si="1"/>
        <v>2585845</v>
      </c>
      <c r="H4" s="81">
        <f t="shared" si="1"/>
        <v>3637843</v>
      </c>
      <c r="I4" s="81">
        <f t="shared" si="1"/>
        <v>3598169</v>
      </c>
      <c r="J4" s="81">
        <f t="shared" si="1"/>
        <v>3535927</v>
      </c>
      <c r="K4" s="81">
        <f t="shared" si="1"/>
        <v>3606096</v>
      </c>
      <c r="L4" s="81">
        <f t="shared" si="1"/>
        <v>4170898</v>
      </c>
      <c r="M4" s="81">
        <f t="shared" si="1"/>
        <v>3988742</v>
      </c>
      <c r="N4" s="81">
        <f t="shared" si="1"/>
        <v>4135123</v>
      </c>
      <c r="O4" s="81">
        <f t="shared" si="1"/>
        <v>5435295</v>
      </c>
      <c r="P4" s="81">
        <f t="shared" si="1"/>
        <v>7603199</v>
      </c>
      <c r="Q4" s="81">
        <f t="shared" si="1"/>
        <v>9425288</v>
      </c>
      <c r="R4" s="81">
        <f t="shared" si="1"/>
        <v>9945028</v>
      </c>
      <c r="S4" s="81">
        <f t="shared" si="1"/>
        <v>10083277</v>
      </c>
      <c r="T4" s="81">
        <f t="shared" si="1"/>
        <v>10218609</v>
      </c>
      <c r="U4" s="81">
        <f t="shared" si="1"/>
        <v>10599389</v>
      </c>
      <c r="V4" s="81">
        <f t="shared" si="1"/>
        <v>10616193</v>
      </c>
      <c r="W4" s="81">
        <f t="shared" si="1"/>
        <v>10235594</v>
      </c>
      <c r="X4" s="81">
        <f t="shared" si="1"/>
        <v>10923298</v>
      </c>
      <c r="Y4" s="81">
        <f t="shared" si="1"/>
        <v>8755181</v>
      </c>
      <c r="Z4" s="81">
        <f t="shared" si="1"/>
        <v>8828860</v>
      </c>
      <c r="AA4" s="81">
        <f t="shared" si="1"/>
        <v>9023831</v>
      </c>
      <c r="AB4" s="81">
        <f t="shared" si="1"/>
        <v>8702896</v>
      </c>
      <c r="AC4" s="81">
        <f t="shared" si="1"/>
        <v>8780352</v>
      </c>
      <c r="AD4" s="81">
        <f t="shared" si="1"/>
        <v>8531721</v>
      </c>
      <c r="AE4" s="81">
        <f t="shared" si="1"/>
        <v>8685594</v>
      </c>
      <c r="AF4" s="81">
        <f t="shared" si="1"/>
        <v>8962553</v>
      </c>
      <c r="AG4" s="81">
        <f t="shared" si="1"/>
        <v>9219852</v>
      </c>
      <c r="AH4" s="41"/>
      <c r="AI4" s="41"/>
    </row>
    <row r="5" ht="12.75" customHeight="1">
      <c r="A5" s="79" t="s">
        <v>277</v>
      </c>
      <c r="B5" s="80" t="s">
        <v>278</v>
      </c>
      <c r="C5" s="81">
        <f t="shared" ref="C5:AG5" si="2">SUM(C6:C14)</f>
        <v>1038781</v>
      </c>
      <c r="D5" s="81">
        <f t="shared" si="2"/>
        <v>1062090</v>
      </c>
      <c r="E5" s="81">
        <f t="shared" si="2"/>
        <v>1084241</v>
      </c>
      <c r="F5" s="81">
        <f t="shared" si="2"/>
        <v>1020134</v>
      </c>
      <c r="G5" s="81">
        <f t="shared" si="2"/>
        <v>1026741</v>
      </c>
      <c r="H5" s="81">
        <f t="shared" si="2"/>
        <v>2092456</v>
      </c>
      <c r="I5" s="81">
        <f t="shared" si="2"/>
        <v>2044020</v>
      </c>
      <c r="J5" s="81">
        <f t="shared" si="2"/>
        <v>2004275</v>
      </c>
      <c r="K5" s="81">
        <f t="shared" si="2"/>
        <v>1859977</v>
      </c>
      <c r="L5" s="81">
        <f t="shared" si="2"/>
        <v>1845367</v>
      </c>
      <c r="M5" s="81">
        <f t="shared" si="2"/>
        <v>1667943</v>
      </c>
      <c r="N5" s="81">
        <f t="shared" si="2"/>
        <v>1820690</v>
      </c>
      <c r="O5" s="81">
        <f t="shared" si="2"/>
        <v>3610274</v>
      </c>
      <c r="P5" s="81">
        <f t="shared" si="2"/>
        <v>3686284</v>
      </c>
      <c r="Q5" s="81">
        <f t="shared" si="2"/>
        <v>5458243</v>
      </c>
      <c r="R5" s="81">
        <f t="shared" si="2"/>
        <v>5979189</v>
      </c>
      <c r="S5" s="81">
        <f t="shared" si="2"/>
        <v>5989590</v>
      </c>
      <c r="T5" s="81">
        <f t="shared" si="2"/>
        <v>6075250</v>
      </c>
      <c r="U5" s="81">
        <f t="shared" si="2"/>
        <v>6271629</v>
      </c>
      <c r="V5" s="81">
        <f t="shared" si="2"/>
        <v>6230161</v>
      </c>
      <c r="W5" s="81">
        <f t="shared" si="2"/>
        <v>5858886</v>
      </c>
      <c r="X5" s="81">
        <f t="shared" si="2"/>
        <v>6418775</v>
      </c>
      <c r="Y5" s="81">
        <f t="shared" si="2"/>
        <v>3849923</v>
      </c>
      <c r="Z5" s="81">
        <f t="shared" si="2"/>
        <v>3906298</v>
      </c>
      <c r="AA5" s="81">
        <f t="shared" si="2"/>
        <v>3375449</v>
      </c>
      <c r="AB5" s="81">
        <f t="shared" si="2"/>
        <v>3070913</v>
      </c>
      <c r="AC5" s="81">
        <f t="shared" si="2"/>
        <v>3058506</v>
      </c>
      <c r="AD5" s="81">
        <f t="shared" si="2"/>
        <v>2763558</v>
      </c>
      <c r="AE5" s="81">
        <f t="shared" si="2"/>
        <v>2921709</v>
      </c>
      <c r="AF5" s="81">
        <f t="shared" si="2"/>
        <v>3169357</v>
      </c>
      <c r="AG5" s="81">
        <f t="shared" si="2"/>
        <v>3145240</v>
      </c>
      <c r="AH5" s="41"/>
      <c r="AI5" s="41"/>
    </row>
    <row r="6" ht="12.75" customHeight="1">
      <c r="A6" s="82" t="s">
        <v>279</v>
      </c>
      <c r="B6" s="83" t="s">
        <v>280</v>
      </c>
      <c r="C6" s="53">
        <v>380705.0</v>
      </c>
      <c r="D6" s="53">
        <v>394462.0</v>
      </c>
      <c r="E6" s="53">
        <v>449606.0</v>
      </c>
      <c r="F6" s="53">
        <v>452799.0</v>
      </c>
      <c r="G6" s="53">
        <v>423658.0</v>
      </c>
      <c r="H6" s="53">
        <v>1494584.0</v>
      </c>
      <c r="I6" s="53">
        <v>1487702.0</v>
      </c>
      <c r="J6" s="53">
        <v>1538156.0</v>
      </c>
      <c r="K6" s="53">
        <v>1365366.0</v>
      </c>
      <c r="L6" s="53">
        <v>1263927.0</v>
      </c>
      <c r="M6" s="53">
        <v>999800.0</v>
      </c>
      <c r="N6" s="53">
        <v>1011638.0</v>
      </c>
      <c r="O6" s="53">
        <v>886108.0</v>
      </c>
      <c r="P6" s="53">
        <v>645664.0</v>
      </c>
      <c r="Q6" s="53">
        <v>2073866.0</v>
      </c>
      <c r="R6" s="53">
        <v>2735764.0</v>
      </c>
      <c r="S6" s="53">
        <v>2704890.0</v>
      </c>
      <c r="T6" s="53">
        <v>2567054.0</v>
      </c>
      <c r="U6" s="53">
        <v>2541052.0</v>
      </c>
      <c r="V6" s="53">
        <v>2735765.0</v>
      </c>
      <c r="W6" s="53">
        <v>2536064.0</v>
      </c>
      <c r="X6" s="53">
        <v>2720311.0</v>
      </c>
      <c r="Y6" s="53">
        <v>3056726.0</v>
      </c>
      <c r="Z6" s="53">
        <v>3129162.0</v>
      </c>
      <c r="AA6" s="53">
        <v>2548116.0</v>
      </c>
      <c r="AB6" s="53">
        <v>2205225.0</v>
      </c>
      <c r="AC6" s="53">
        <v>2154825.0</v>
      </c>
      <c r="AD6" s="53">
        <v>1942162.0</v>
      </c>
      <c r="AE6" s="53">
        <v>1943040.0</v>
      </c>
      <c r="AF6" s="53">
        <v>2094240.0</v>
      </c>
      <c r="AG6" s="53">
        <v>2005729.0</v>
      </c>
      <c r="AH6" s="41"/>
      <c r="AI6" s="41"/>
    </row>
    <row r="7" ht="12.75" customHeight="1">
      <c r="A7" s="82" t="s">
        <v>281</v>
      </c>
      <c r="B7" s="83" t="s">
        <v>282</v>
      </c>
      <c r="C7" s="53">
        <v>535212.0</v>
      </c>
      <c r="D7" s="53">
        <v>542206.0</v>
      </c>
      <c r="E7" s="53">
        <v>536052.0</v>
      </c>
      <c r="F7" s="53">
        <v>504056.0</v>
      </c>
      <c r="G7" s="53">
        <v>484546.0</v>
      </c>
      <c r="H7" s="53">
        <v>476132.0</v>
      </c>
      <c r="I7" s="53">
        <v>470151.0</v>
      </c>
      <c r="J7" s="53">
        <v>453118.0</v>
      </c>
      <c r="K7" s="53">
        <v>460210.0</v>
      </c>
      <c r="L7" s="53">
        <v>514723.0</v>
      </c>
      <c r="M7" s="53">
        <v>598932.0</v>
      </c>
      <c r="N7" s="53">
        <v>630361.0</v>
      </c>
      <c r="O7" s="53">
        <v>474786.0</v>
      </c>
      <c r="P7" s="53">
        <v>502133.0</v>
      </c>
      <c r="Q7" s="53">
        <v>522425.0</v>
      </c>
      <c r="R7" s="53">
        <v>500958.0</v>
      </c>
      <c r="S7" s="53">
        <v>546459.0</v>
      </c>
      <c r="T7" s="53">
        <v>586998.0</v>
      </c>
      <c r="U7" s="53">
        <v>595520.0</v>
      </c>
      <c r="V7" s="53">
        <v>538199.0</v>
      </c>
      <c r="W7" s="53">
        <v>563766.0</v>
      </c>
      <c r="X7" s="53">
        <v>595326.0</v>
      </c>
      <c r="Y7" s="53">
        <v>617008.0</v>
      </c>
      <c r="Z7" s="53">
        <v>600731.0</v>
      </c>
      <c r="AA7" s="53">
        <v>642398.0</v>
      </c>
      <c r="AB7" s="53">
        <v>643537.0</v>
      </c>
      <c r="AC7" s="53">
        <v>647773.0</v>
      </c>
      <c r="AD7" s="53">
        <v>625678.0</v>
      </c>
      <c r="AE7" s="53">
        <v>714209.0</v>
      </c>
      <c r="AF7" s="53">
        <v>734666.0</v>
      </c>
      <c r="AG7" s="53">
        <v>736081.0</v>
      </c>
      <c r="AH7" s="41"/>
      <c r="AI7" s="41"/>
    </row>
    <row r="8" ht="12.75" customHeight="1">
      <c r="A8" s="82" t="s">
        <v>283</v>
      </c>
      <c r="B8" s="83" t="s">
        <v>95</v>
      </c>
      <c r="C8" s="53">
        <v>-107286.0</v>
      </c>
      <c r="D8" s="53">
        <v>-110472.0</v>
      </c>
      <c r="E8" s="53">
        <v>-112497.0</v>
      </c>
      <c r="F8" s="53">
        <v>-118518.0</v>
      </c>
      <c r="G8" s="53">
        <v>-117040.0</v>
      </c>
      <c r="H8" s="53">
        <v>-110476.0</v>
      </c>
      <c r="I8" s="53">
        <v>-109202.0</v>
      </c>
      <c r="J8" s="53">
        <v>-102123.0</v>
      </c>
      <c r="K8" s="53">
        <v>-89424.0</v>
      </c>
      <c r="L8" s="53">
        <v>-90547.0</v>
      </c>
      <c r="M8" s="53">
        <v>-81506.0</v>
      </c>
      <c r="N8" s="53">
        <v>-76643.0</v>
      </c>
      <c r="O8" s="53">
        <v>-79467.0</v>
      </c>
      <c r="P8" s="53">
        <v>-79615.0</v>
      </c>
      <c r="Q8" s="53">
        <v>-83918.0</v>
      </c>
      <c r="R8" s="53">
        <v>-83383.0</v>
      </c>
      <c r="S8" s="53">
        <v>-69278.0</v>
      </c>
      <c r="T8" s="53">
        <v>-74831.0</v>
      </c>
      <c r="U8" s="53">
        <v>-60966.0</v>
      </c>
      <c r="V8" s="53">
        <v>-62551.0</v>
      </c>
      <c r="W8" s="53">
        <v>-57532.0</v>
      </c>
      <c r="X8" s="53">
        <v>-65549.0</v>
      </c>
      <c r="Y8" s="53">
        <v>-59968.0</v>
      </c>
      <c r="Z8" s="53">
        <v>-62203.0</v>
      </c>
      <c r="AA8" s="53">
        <v>-61741.0</v>
      </c>
      <c r="AB8" s="53">
        <v>-59316.0</v>
      </c>
      <c r="AC8" s="53">
        <v>-65848.0</v>
      </c>
      <c r="AD8" s="53">
        <v>-62350.0</v>
      </c>
      <c r="AE8" s="53">
        <v>-73106.0</v>
      </c>
      <c r="AF8" s="53">
        <v>-68298.0</v>
      </c>
      <c r="AG8" s="53">
        <v>-67467.0</v>
      </c>
      <c r="AH8" s="41"/>
      <c r="AI8" s="41"/>
    </row>
    <row r="9" ht="12.75" customHeight="1">
      <c r="A9" s="82" t="s">
        <v>284</v>
      </c>
      <c r="B9" s="83" t="s">
        <v>285</v>
      </c>
      <c r="C9" s="53">
        <v>0.0</v>
      </c>
      <c r="D9" s="53">
        <v>0.0</v>
      </c>
      <c r="E9" s="53">
        <v>0.0</v>
      </c>
      <c r="F9" s="53">
        <v>0.0</v>
      </c>
      <c r="G9" s="53">
        <v>0.0</v>
      </c>
      <c r="H9" s="53">
        <v>0.0</v>
      </c>
      <c r="I9" s="53">
        <v>0.0</v>
      </c>
      <c r="J9" s="53">
        <v>0.0</v>
      </c>
      <c r="K9" s="53">
        <v>0.0</v>
      </c>
      <c r="L9" s="53">
        <v>47348.0</v>
      </c>
      <c r="M9" s="53">
        <v>53862.0</v>
      </c>
      <c r="N9" s="53">
        <v>161327.0</v>
      </c>
      <c r="O9" s="53">
        <v>0.0</v>
      </c>
      <c r="P9" s="53">
        <v>0.0</v>
      </c>
      <c r="Q9" s="53">
        <v>0.0</v>
      </c>
      <c r="R9" s="53">
        <v>0.0</v>
      </c>
      <c r="S9" s="53">
        <v>4273.0</v>
      </c>
      <c r="T9" s="53">
        <v>4382.0</v>
      </c>
      <c r="U9" s="53">
        <v>0.0</v>
      </c>
      <c r="V9" s="53">
        <v>0.0</v>
      </c>
      <c r="W9" s="53">
        <v>0.0</v>
      </c>
      <c r="X9" s="53">
        <v>0.0</v>
      </c>
      <c r="Y9" s="53">
        <v>0.0</v>
      </c>
      <c r="Z9" s="53">
        <v>0.0</v>
      </c>
      <c r="AA9" s="53">
        <v>0.0</v>
      </c>
      <c r="AB9" s="53">
        <v>0.0</v>
      </c>
      <c r="AC9" s="53">
        <v>0.0</v>
      </c>
      <c r="AD9" s="53">
        <v>0.0</v>
      </c>
      <c r="AE9" s="53">
        <v>0.0</v>
      </c>
      <c r="AF9" s="53">
        <v>0.0</v>
      </c>
      <c r="AG9" s="53">
        <v>0.0</v>
      </c>
      <c r="AH9" s="41"/>
      <c r="AI9" s="41"/>
    </row>
    <row r="10" ht="12.75" customHeight="1">
      <c r="A10" s="82" t="s">
        <v>286</v>
      </c>
      <c r="B10" s="83" t="s">
        <v>287</v>
      </c>
      <c r="C10" s="53">
        <v>41217.0</v>
      </c>
      <c r="D10" s="53">
        <v>37647.0</v>
      </c>
      <c r="E10" s="53">
        <v>35584.0</v>
      </c>
      <c r="F10" s="53">
        <v>41531.0</v>
      </c>
      <c r="G10" s="53">
        <v>0.0</v>
      </c>
      <c r="H10" s="53">
        <v>0.0</v>
      </c>
      <c r="I10" s="53">
        <v>0.0</v>
      </c>
      <c r="J10" s="53">
        <v>0.0</v>
      </c>
      <c r="K10" s="53">
        <v>0.0</v>
      </c>
      <c r="L10" s="53">
        <v>0.0</v>
      </c>
      <c r="M10" s="53">
        <v>0.0</v>
      </c>
      <c r="N10" s="53">
        <v>0.0</v>
      </c>
      <c r="O10" s="53">
        <v>0.0</v>
      </c>
      <c r="P10" s="53">
        <v>0.0</v>
      </c>
      <c r="Q10" s="53">
        <v>0.0</v>
      </c>
      <c r="R10" s="53">
        <v>0.0</v>
      </c>
      <c r="S10" s="53">
        <v>0.0</v>
      </c>
      <c r="T10" s="53">
        <v>0.0</v>
      </c>
      <c r="U10" s="53">
        <v>0.0</v>
      </c>
      <c r="V10" s="53">
        <v>0.0</v>
      </c>
      <c r="W10" s="53">
        <v>0.0</v>
      </c>
      <c r="X10" s="53">
        <v>0.0</v>
      </c>
      <c r="Y10" s="53">
        <v>0.0</v>
      </c>
      <c r="Z10" s="53">
        <v>0.0</v>
      </c>
      <c r="AA10" s="53">
        <v>0.0</v>
      </c>
      <c r="AB10" s="53">
        <v>0.0</v>
      </c>
      <c r="AC10" s="53">
        <v>0.0</v>
      </c>
      <c r="AD10" s="53">
        <v>0.0</v>
      </c>
      <c r="AE10" s="53">
        <v>0.0</v>
      </c>
      <c r="AF10" s="53">
        <v>0.0</v>
      </c>
      <c r="AG10" s="53">
        <v>0.0</v>
      </c>
      <c r="AH10" s="41"/>
      <c r="AI10" s="41"/>
    </row>
    <row r="11" ht="12.75" customHeight="1">
      <c r="A11" s="82" t="s">
        <v>288</v>
      </c>
      <c r="B11" s="83" t="s">
        <v>289</v>
      </c>
      <c r="C11" s="53">
        <v>86623.0</v>
      </c>
      <c r="D11" s="53">
        <v>81224.0</v>
      </c>
      <c r="E11" s="53">
        <v>62777.0</v>
      </c>
      <c r="F11" s="53">
        <v>38817.0</v>
      </c>
      <c r="G11" s="53">
        <v>33674.0</v>
      </c>
      <c r="H11" s="53">
        <v>27877.0</v>
      </c>
      <c r="I11" s="53">
        <v>12161.0</v>
      </c>
      <c r="J11" s="53">
        <v>29662.0</v>
      </c>
      <c r="K11" s="53">
        <v>39277.0</v>
      </c>
      <c r="L11" s="53">
        <v>18071.0</v>
      </c>
      <c r="M11" s="53">
        <v>22384.0</v>
      </c>
      <c r="N11" s="53">
        <v>38092.0</v>
      </c>
      <c r="O11" s="53">
        <v>29700.0</v>
      </c>
      <c r="P11" s="53">
        <v>42302.0</v>
      </c>
      <c r="Q11" s="53">
        <v>37209.0</v>
      </c>
      <c r="R11" s="53">
        <v>67553.0</v>
      </c>
      <c r="S11" s="53">
        <v>78306.0</v>
      </c>
      <c r="T11" s="53">
        <v>74013.0</v>
      </c>
      <c r="U11" s="53">
        <v>71953.0</v>
      </c>
      <c r="V11" s="53">
        <v>87932.0</v>
      </c>
      <c r="W11" s="53">
        <v>96001.0</v>
      </c>
      <c r="X11" s="53">
        <v>74849.0</v>
      </c>
      <c r="Y11" s="53">
        <v>39165.0</v>
      </c>
      <c r="Z11" s="53">
        <v>87838.0</v>
      </c>
      <c r="AA11" s="53">
        <v>91170.0</v>
      </c>
      <c r="AB11" s="53">
        <v>73785.0</v>
      </c>
      <c r="AC11" s="53">
        <v>80289.0</v>
      </c>
      <c r="AD11" s="53">
        <v>83519.0</v>
      </c>
      <c r="AE11" s="53">
        <v>100935.0</v>
      </c>
      <c r="AF11" s="53">
        <v>93917.0</v>
      </c>
      <c r="AG11" s="53">
        <v>77107.0</v>
      </c>
      <c r="AH11" s="41"/>
      <c r="AI11" s="41"/>
    </row>
    <row r="12" ht="12.75" customHeight="1">
      <c r="A12" s="82" t="s">
        <v>290</v>
      </c>
      <c r="B12" s="83" t="s">
        <v>291</v>
      </c>
      <c r="C12" s="53">
        <v>49882.0</v>
      </c>
      <c r="D12" s="53">
        <v>49398.0</v>
      </c>
      <c r="E12" s="53">
        <v>46934.0</v>
      </c>
      <c r="F12" s="53">
        <v>44909.0</v>
      </c>
      <c r="G12" s="53">
        <v>44711.0</v>
      </c>
      <c r="H12" s="53">
        <v>45203.0</v>
      </c>
      <c r="I12" s="53">
        <v>26188.0</v>
      </c>
      <c r="J12" s="53">
        <v>25278.0</v>
      </c>
      <c r="K12" s="53">
        <v>10204.0</v>
      </c>
      <c r="L12" s="53">
        <v>10260.0</v>
      </c>
      <c r="M12" s="53">
        <v>10307.0</v>
      </c>
      <c r="N12" s="53">
        <v>10012.0</v>
      </c>
      <c r="O12" s="53">
        <v>9718.0</v>
      </c>
      <c r="P12" s="53">
        <v>9067.0</v>
      </c>
      <c r="Q12" s="53">
        <v>9191.0</v>
      </c>
      <c r="R12" s="53">
        <v>9341.0</v>
      </c>
      <c r="S12" s="53">
        <v>9593.0</v>
      </c>
      <c r="T12" s="53">
        <v>9811.0</v>
      </c>
      <c r="U12" s="53">
        <v>11652.0</v>
      </c>
      <c r="V12" s="53">
        <v>10391.0</v>
      </c>
      <c r="W12" s="53">
        <v>12707.0</v>
      </c>
      <c r="X12" s="53">
        <v>12206.0</v>
      </c>
      <c r="Y12" s="53">
        <v>13150.0</v>
      </c>
      <c r="Z12" s="53">
        <v>13175.0</v>
      </c>
      <c r="AA12" s="53">
        <v>13754.0</v>
      </c>
      <c r="AB12" s="53">
        <v>19575.0</v>
      </c>
      <c r="AC12" s="53">
        <v>13675.0</v>
      </c>
      <c r="AD12" s="53">
        <v>13974.0</v>
      </c>
      <c r="AE12" s="53">
        <v>14339.0</v>
      </c>
      <c r="AF12" s="53">
        <v>19182.0</v>
      </c>
      <c r="AG12" s="53">
        <v>46057.0</v>
      </c>
      <c r="AH12" s="41"/>
      <c r="AI12" s="41"/>
    </row>
    <row r="13" ht="12.75" customHeight="1">
      <c r="A13" s="82" t="s">
        <v>292</v>
      </c>
      <c r="B13" s="83" t="s">
        <v>293</v>
      </c>
      <c r="C13" s="53">
        <v>52428.0</v>
      </c>
      <c r="D13" s="53">
        <v>67625.0</v>
      </c>
      <c r="E13" s="53">
        <v>65785.0</v>
      </c>
      <c r="F13" s="53">
        <v>56540.0</v>
      </c>
      <c r="G13" s="53">
        <v>69280.0</v>
      </c>
      <c r="H13" s="53">
        <v>61930.0</v>
      </c>
      <c r="I13" s="53">
        <v>58006.0</v>
      </c>
      <c r="J13" s="53">
        <v>60184.0</v>
      </c>
      <c r="K13" s="53">
        <v>74344.0</v>
      </c>
      <c r="L13" s="53">
        <v>81585.0</v>
      </c>
      <c r="M13" s="53">
        <v>64164.0</v>
      </c>
      <c r="N13" s="53">
        <v>45903.0</v>
      </c>
      <c r="O13" s="53">
        <v>59021.0</v>
      </c>
      <c r="P13" s="53">
        <v>91113.0</v>
      </c>
      <c r="Q13" s="53">
        <v>99715.0</v>
      </c>
      <c r="R13" s="53">
        <v>107739.0</v>
      </c>
      <c r="S13" s="53">
        <v>109519.0</v>
      </c>
      <c r="T13" s="53">
        <v>149379.0</v>
      </c>
      <c r="U13" s="53">
        <v>152408.0</v>
      </c>
      <c r="V13" s="53">
        <v>96447.0</v>
      </c>
      <c r="W13" s="53">
        <v>117905.0</v>
      </c>
      <c r="X13" s="53">
        <v>175915.0</v>
      </c>
      <c r="Y13" s="53">
        <v>183842.0</v>
      </c>
      <c r="Z13" s="53">
        <v>137595.0</v>
      </c>
      <c r="AA13" s="53">
        <v>141752.0</v>
      </c>
      <c r="AB13" s="53">
        <v>188107.0</v>
      </c>
      <c r="AC13" s="53">
        <v>227792.0</v>
      </c>
      <c r="AD13" s="53">
        <v>160575.0</v>
      </c>
      <c r="AE13" s="53">
        <v>165450.0</v>
      </c>
      <c r="AF13" s="53">
        <v>238249.0</v>
      </c>
      <c r="AG13" s="53">
        <v>289915.0</v>
      </c>
      <c r="AH13" s="41"/>
      <c r="AI13" s="41"/>
    </row>
    <row r="14" ht="12.75" customHeight="1">
      <c r="A14" s="82" t="s">
        <v>294</v>
      </c>
      <c r="B14" s="83" t="s">
        <v>295</v>
      </c>
      <c r="C14" s="53">
        <v>0.0</v>
      </c>
      <c r="D14" s="53">
        <v>0.0</v>
      </c>
      <c r="E14" s="53">
        <v>0.0</v>
      </c>
      <c r="F14" s="53">
        <v>0.0</v>
      </c>
      <c r="G14" s="53">
        <v>87912.0</v>
      </c>
      <c r="H14" s="53">
        <v>97206.0</v>
      </c>
      <c r="I14" s="53">
        <v>99014.0</v>
      </c>
      <c r="J14" s="53">
        <v>0.0</v>
      </c>
      <c r="K14" s="53">
        <v>0.0</v>
      </c>
      <c r="L14" s="53">
        <v>0.0</v>
      </c>
      <c r="M14" s="53">
        <v>0.0</v>
      </c>
      <c r="N14" s="53">
        <v>0.0</v>
      </c>
      <c r="O14" s="53">
        <v>2230408.0</v>
      </c>
      <c r="P14" s="53">
        <v>2475620.0</v>
      </c>
      <c r="Q14" s="53">
        <v>2799755.0</v>
      </c>
      <c r="R14" s="53">
        <v>2641217.0</v>
      </c>
      <c r="S14" s="53">
        <v>2605828.0</v>
      </c>
      <c r="T14" s="53">
        <v>2758444.0</v>
      </c>
      <c r="U14" s="53">
        <v>2960010.0</v>
      </c>
      <c r="V14" s="53">
        <v>2823978.0</v>
      </c>
      <c r="W14" s="53">
        <v>2589975.0</v>
      </c>
      <c r="X14" s="53">
        <v>2905717.0</v>
      </c>
      <c r="Y14" s="53">
        <v>0.0</v>
      </c>
      <c r="Z14" s="53">
        <v>0.0</v>
      </c>
      <c r="AA14" s="53">
        <v>0.0</v>
      </c>
      <c r="AB14" s="53">
        <v>0.0</v>
      </c>
      <c r="AC14" s="53">
        <v>0.0</v>
      </c>
      <c r="AD14" s="53">
        <v>0.0</v>
      </c>
      <c r="AE14" s="53">
        <v>56842.0</v>
      </c>
      <c r="AF14" s="53">
        <v>57401.0</v>
      </c>
      <c r="AG14" s="53">
        <v>57818.0</v>
      </c>
      <c r="AH14" s="41"/>
      <c r="AI14" s="41"/>
    </row>
    <row r="15" ht="12.75" customHeight="1">
      <c r="A15" s="79"/>
      <c r="B15" s="80"/>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41"/>
      <c r="AI15" s="41"/>
    </row>
    <row r="16" ht="12.75" customHeight="1">
      <c r="A16" s="79" t="s">
        <v>296</v>
      </c>
      <c r="B16" s="80" t="s">
        <v>297</v>
      </c>
      <c r="C16" s="81">
        <f t="shared" ref="C16:AG16" si="3">C17+SUM(C27:C29)</f>
        <v>1426461</v>
      </c>
      <c r="D16" s="81">
        <f t="shared" si="3"/>
        <v>1408139</v>
      </c>
      <c r="E16" s="81">
        <f t="shared" si="3"/>
        <v>1408400</v>
      </c>
      <c r="F16" s="81">
        <f t="shared" si="3"/>
        <v>1371143</v>
      </c>
      <c r="G16" s="81">
        <f t="shared" si="3"/>
        <v>1559104</v>
      </c>
      <c r="H16" s="81">
        <f t="shared" si="3"/>
        <v>1545387</v>
      </c>
      <c r="I16" s="81">
        <f t="shared" si="3"/>
        <v>1554149</v>
      </c>
      <c r="J16" s="81">
        <f t="shared" si="3"/>
        <v>1531652</v>
      </c>
      <c r="K16" s="81">
        <f t="shared" si="3"/>
        <v>1746119</v>
      </c>
      <c r="L16" s="81">
        <f t="shared" si="3"/>
        <v>2325531</v>
      </c>
      <c r="M16" s="81">
        <f t="shared" si="3"/>
        <v>2320799</v>
      </c>
      <c r="N16" s="81">
        <f t="shared" si="3"/>
        <v>2314433</v>
      </c>
      <c r="O16" s="81">
        <f t="shared" si="3"/>
        <v>1825021</v>
      </c>
      <c r="P16" s="81">
        <f t="shared" si="3"/>
        <v>3916915</v>
      </c>
      <c r="Q16" s="81">
        <f t="shared" si="3"/>
        <v>3967045</v>
      </c>
      <c r="R16" s="81">
        <f t="shared" si="3"/>
        <v>3965839</v>
      </c>
      <c r="S16" s="81">
        <f t="shared" si="3"/>
        <v>4093687</v>
      </c>
      <c r="T16" s="81">
        <f t="shared" si="3"/>
        <v>4143359</v>
      </c>
      <c r="U16" s="81">
        <f t="shared" si="3"/>
        <v>4327760</v>
      </c>
      <c r="V16" s="81">
        <f t="shared" si="3"/>
        <v>4386032</v>
      </c>
      <c r="W16" s="81">
        <f t="shared" si="3"/>
        <v>4376708</v>
      </c>
      <c r="X16" s="81">
        <f t="shared" si="3"/>
        <v>4504523</v>
      </c>
      <c r="Y16" s="81">
        <f t="shared" si="3"/>
        <v>4905258</v>
      </c>
      <c r="Z16" s="81">
        <f t="shared" si="3"/>
        <v>4922562</v>
      </c>
      <c r="AA16" s="81">
        <f t="shared" si="3"/>
        <v>5648382</v>
      </c>
      <c r="AB16" s="81">
        <f t="shared" si="3"/>
        <v>5631983</v>
      </c>
      <c r="AC16" s="81">
        <f t="shared" si="3"/>
        <v>5721846</v>
      </c>
      <c r="AD16" s="81">
        <f t="shared" si="3"/>
        <v>5768163</v>
      </c>
      <c r="AE16" s="81">
        <f t="shared" si="3"/>
        <v>5763885</v>
      </c>
      <c r="AF16" s="81">
        <f t="shared" si="3"/>
        <v>5793196</v>
      </c>
      <c r="AG16" s="81">
        <f t="shared" si="3"/>
        <v>6074612</v>
      </c>
      <c r="AH16" s="41"/>
      <c r="AI16" s="41"/>
    </row>
    <row r="17" ht="12.75" customHeight="1">
      <c r="A17" s="79" t="s">
        <v>298</v>
      </c>
      <c r="B17" s="80" t="s">
        <v>299</v>
      </c>
      <c r="C17" s="58">
        <f t="shared" ref="C17:AG17" si="4">SUM(C18:C25)</f>
        <v>296261</v>
      </c>
      <c r="D17" s="58">
        <f t="shared" si="4"/>
        <v>291007</v>
      </c>
      <c r="E17" s="58">
        <f t="shared" si="4"/>
        <v>289340</v>
      </c>
      <c r="F17" s="58">
        <f t="shared" si="4"/>
        <v>312060</v>
      </c>
      <c r="G17" s="58">
        <f t="shared" si="4"/>
        <v>299297</v>
      </c>
      <c r="H17" s="58">
        <f t="shared" si="4"/>
        <v>309193</v>
      </c>
      <c r="I17" s="58">
        <f t="shared" si="4"/>
        <v>345272</v>
      </c>
      <c r="J17" s="58">
        <f t="shared" si="4"/>
        <v>328403</v>
      </c>
      <c r="K17" s="58">
        <f t="shared" si="4"/>
        <v>317503</v>
      </c>
      <c r="L17" s="58">
        <f t="shared" si="4"/>
        <v>343883</v>
      </c>
      <c r="M17" s="58">
        <f t="shared" si="4"/>
        <v>371964</v>
      </c>
      <c r="N17" s="58">
        <f t="shared" si="4"/>
        <v>360333</v>
      </c>
      <c r="O17" s="58">
        <f t="shared" si="4"/>
        <v>358217</v>
      </c>
      <c r="P17" s="58">
        <f t="shared" si="4"/>
        <v>391921</v>
      </c>
      <c r="Q17" s="58">
        <f t="shared" si="4"/>
        <v>427065</v>
      </c>
      <c r="R17" s="58">
        <f t="shared" si="4"/>
        <v>422930</v>
      </c>
      <c r="S17" s="58">
        <f t="shared" si="4"/>
        <v>400233</v>
      </c>
      <c r="T17" s="58">
        <f t="shared" si="4"/>
        <v>405990</v>
      </c>
      <c r="U17" s="58">
        <f t="shared" si="4"/>
        <v>416040</v>
      </c>
      <c r="V17" s="58">
        <f t="shared" si="4"/>
        <v>463392</v>
      </c>
      <c r="W17" s="58">
        <f t="shared" si="4"/>
        <v>452208</v>
      </c>
      <c r="X17" s="58">
        <f t="shared" si="4"/>
        <v>439386</v>
      </c>
      <c r="Y17" s="58">
        <f t="shared" si="4"/>
        <v>467770</v>
      </c>
      <c r="Z17" s="58">
        <f t="shared" si="4"/>
        <v>514482</v>
      </c>
      <c r="AA17" s="58">
        <f t="shared" si="4"/>
        <v>584273</v>
      </c>
      <c r="AB17" s="58">
        <f t="shared" si="4"/>
        <v>600616</v>
      </c>
      <c r="AC17" s="58">
        <f t="shared" si="4"/>
        <v>732986</v>
      </c>
      <c r="AD17" s="58">
        <f t="shared" si="4"/>
        <v>785927</v>
      </c>
      <c r="AE17" s="58">
        <f t="shared" si="4"/>
        <v>820389</v>
      </c>
      <c r="AF17" s="58">
        <f t="shared" si="4"/>
        <v>841526</v>
      </c>
      <c r="AG17" s="58">
        <f t="shared" si="4"/>
        <v>858902</v>
      </c>
      <c r="AH17" s="41"/>
      <c r="AI17" s="41"/>
    </row>
    <row r="18" ht="12.75" customHeight="1">
      <c r="A18" s="82" t="s">
        <v>281</v>
      </c>
      <c r="B18" s="83" t="s">
        <v>282</v>
      </c>
      <c r="C18" s="53">
        <v>31733.0</v>
      </c>
      <c r="D18" s="53">
        <v>24860.0</v>
      </c>
      <c r="E18" s="53">
        <v>21777.0</v>
      </c>
      <c r="F18" s="53">
        <v>19890.0</v>
      </c>
      <c r="G18" s="53">
        <v>21672.0</v>
      </c>
      <c r="H18" s="53">
        <v>33544.0</v>
      </c>
      <c r="I18" s="53">
        <v>36401.0</v>
      </c>
      <c r="J18" s="53">
        <v>31627.0</v>
      </c>
      <c r="K18" s="53">
        <v>27578.0</v>
      </c>
      <c r="L18" s="53">
        <v>39327.0</v>
      </c>
      <c r="M18" s="53">
        <v>57679.0</v>
      </c>
      <c r="N18" s="53">
        <v>64012.0</v>
      </c>
      <c r="O18" s="53">
        <v>55988.0</v>
      </c>
      <c r="P18" s="53">
        <v>60881.0</v>
      </c>
      <c r="Q18" s="53">
        <v>60254.0</v>
      </c>
      <c r="R18" s="53">
        <v>64943.0</v>
      </c>
      <c r="S18" s="53">
        <v>56428.0</v>
      </c>
      <c r="T18" s="53">
        <v>53515.0</v>
      </c>
      <c r="U18" s="53">
        <v>47066.0</v>
      </c>
      <c r="V18" s="53">
        <v>38419.0</v>
      </c>
      <c r="W18" s="53">
        <v>31655.0</v>
      </c>
      <c r="X18" s="53">
        <v>22560.0</v>
      </c>
      <c r="Y18" s="53">
        <v>19030.0</v>
      </c>
      <c r="Z18" s="53">
        <v>16496.0</v>
      </c>
      <c r="AA18" s="53">
        <v>16664.0</v>
      </c>
      <c r="AB18" s="53">
        <v>19747.0</v>
      </c>
      <c r="AC18" s="53">
        <v>16519.0</v>
      </c>
      <c r="AD18" s="53">
        <v>13796.0</v>
      </c>
      <c r="AE18" s="53">
        <v>14492.0</v>
      </c>
      <c r="AF18" s="53">
        <v>15138.0</v>
      </c>
      <c r="AG18" s="53">
        <v>17897.0</v>
      </c>
      <c r="AH18" s="41"/>
      <c r="AI18" s="41"/>
    </row>
    <row r="19" ht="12.75" customHeight="1">
      <c r="A19" s="82" t="s">
        <v>300</v>
      </c>
      <c r="B19" s="83" t="s">
        <v>301</v>
      </c>
      <c r="C19" s="53">
        <v>97839.0</v>
      </c>
      <c r="D19" s="53">
        <v>85222.0</v>
      </c>
      <c r="E19" s="53">
        <v>80735.0</v>
      </c>
      <c r="F19" s="53">
        <v>125124.0</v>
      </c>
      <c r="G19" s="53">
        <v>110182.0</v>
      </c>
      <c r="H19" s="53">
        <v>104499.0</v>
      </c>
      <c r="I19" s="53">
        <v>106412.0</v>
      </c>
      <c r="J19" s="53">
        <v>100380.0</v>
      </c>
      <c r="K19" s="53">
        <v>78803.0</v>
      </c>
      <c r="L19" s="53">
        <v>87059.0</v>
      </c>
      <c r="M19" s="53">
        <v>96481.0</v>
      </c>
      <c r="N19" s="53">
        <v>100535.0</v>
      </c>
      <c r="O19" s="53">
        <v>94718.0</v>
      </c>
      <c r="P19" s="53">
        <v>84883.0</v>
      </c>
      <c r="Q19" s="53">
        <v>94881.0</v>
      </c>
      <c r="R19" s="53">
        <v>107000.0</v>
      </c>
      <c r="S19" s="53">
        <v>112661.0</v>
      </c>
      <c r="T19" s="53">
        <v>101145.0</v>
      </c>
      <c r="U19" s="53">
        <v>96046.0</v>
      </c>
      <c r="V19" s="53">
        <v>119048.0</v>
      </c>
      <c r="W19" s="53">
        <v>116865.0</v>
      </c>
      <c r="X19" s="53">
        <v>117297.0</v>
      </c>
      <c r="Y19" s="53">
        <v>123031.0</v>
      </c>
      <c r="Z19" s="53">
        <v>147426.0</v>
      </c>
      <c r="AA19" s="53">
        <v>138580.0</v>
      </c>
      <c r="AB19" s="53">
        <v>136133.0</v>
      </c>
      <c r="AC19" s="53">
        <v>231218.0</v>
      </c>
      <c r="AD19" s="53">
        <v>253511.0</v>
      </c>
      <c r="AE19" s="53">
        <v>256100.0</v>
      </c>
      <c r="AF19" s="53">
        <v>245119.0</v>
      </c>
      <c r="AG19" s="53">
        <v>243444.0</v>
      </c>
      <c r="AH19" s="41"/>
      <c r="AI19" s="41"/>
    </row>
    <row r="20" ht="12.75" customHeight="1">
      <c r="A20" s="82" t="s">
        <v>302</v>
      </c>
      <c r="B20" s="83" t="s">
        <v>303</v>
      </c>
      <c r="C20" s="53">
        <v>60190.0</v>
      </c>
      <c r="D20" s="53">
        <v>63863.0</v>
      </c>
      <c r="E20" s="53">
        <v>61873.0</v>
      </c>
      <c r="F20" s="53">
        <v>65965.0</v>
      </c>
      <c r="G20" s="53">
        <v>70399.0</v>
      </c>
      <c r="H20" s="53">
        <v>69702.0</v>
      </c>
      <c r="I20" s="53">
        <v>73675.0</v>
      </c>
      <c r="J20" s="53">
        <v>65059.0</v>
      </c>
      <c r="K20" s="53">
        <v>51484.0</v>
      </c>
      <c r="L20" s="53">
        <v>50094.0</v>
      </c>
      <c r="M20" s="53">
        <v>48789.0</v>
      </c>
      <c r="N20" s="53">
        <v>43972.0</v>
      </c>
      <c r="O20" s="53">
        <v>44324.0</v>
      </c>
      <c r="P20" s="53">
        <v>43617.0</v>
      </c>
      <c r="Q20" s="53">
        <v>42157.0</v>
      </c>
      <c r="R20" s="53">
        <v>29236.0</v>
      </c>
      <c r="S20" s="53">
        <v>28814.0</v>
      </c>
      <c r="T20" s="53">
        <v>32129.0</v>
      </c>
      <c r="U20" s="53">
        <v>32622.0</v>
      </c>
      <c r="V20" s="53">
        <v>34244.0</v>
      </c>
      <c r="W20" s="53">
        <v>37644.0</v>
      </c>
      <c r="X20" s="53">
        <v>39283.0</v>
      </c>
      <c r="Y20" s="53">
        <v>39673.0</v>
      </c>
      <c r="Z20" s="53">
        <v>33832.0</v>
      </c>
      <c r="AA20" s="53">
        <v>32244.0</v>
      </c>
      <c r="AB20" s="53">
        <v>32758.0</v>
      </c>
      <c r="AC20" s="53">
        <v>31928.0</v>
      </c>
      <c r="AD20" s="53">
        <v>28373.0</v>
      </c>
      <c r="AE20" s="53">
        <v>32411.0</v>
      </c>
      <c r="AF20" s="53">
        <v>29206.0</v>
      </c>
      <c r="AG20" s="53">
        <v>28404.0</v>
      </c>
      <c r="AH20" s="41"/>
      <c r="AI20" s="41"/>
    </row>
    <row r="21" ht="12.75" customHeight="1">
      <c r="A21" s="82" t="s">
        <v>304</v>
      </c>
      <c r="B21" s="83" t="s">
        <v>305</v>
      </c>
      <c r="C21" s="53">
        <v>0.0</v>
      </c>
      <c r="D21" s="53">
        <v>0.0</v>
      </c>
      <c r="E21" s="53">
        <v>0.0</v>
      </c>
      <c r="F21" s="53">
        <v>0.0</v>
      </c>
      <c r="G21" s="53">
        <v>0.0</v>
      </c>
      <c r="H21" s="53">
        <v>0.0</v>
      </c>
      <c r="I21" s="53">
        <v>0.0</v>
      </c>
      <c r="J21" s="53">
        <v>0.0</v>
      </c>
      <c r="K21" s="53">
        <v>0.0</v>
      </c>
      <c r="L21" s="53">
        <v>0.0</v>
      </c>
      <c r="M21" s="53">
        <v>0.0</v>
      </c>
      <c r="N21" s="53">
        <v>0.0</v>
      </c>
      <c r="O21" s="53">
        <v>0.0</v>
      </c>
      <c r="P21" s="53">
        <v>0.0</v>
      </c>
      <c r="Q21" s="53">
        <v>0.0</v>
      </c>
      <c r="R21" s="53">
        <v>0.0</v>
      </c>
      <c r="S21" s="53">
        <v>0.0</v>
      </c>
      <c r="T21" s="53">
        <v>0.0</v>
      </c>
      <c r="U21" s="53">
        <v>678.0</v>
      </c>
      <c r="V21" s="53">
        <v>905.0</v>
      </c>
      <c r="W21" s="53">
        <v>1134.0</v>
      </c>
      <c r="X21" s="53">
        <v>7214.0</v>
      </c>
      <c r="Y21" s="53">
        <v>2507.0</v>
      </c>
      <c r="Z21" s="53">
        <v>3787.0</v>
      </c>
      <c r="AA21" s="53">
        <v>4997.0</v>
      </c>
      <c r="AB21" s="53">
        <v>4876.0</v>
      </c>
      <c r="AC21" s="53">
        <v>5231.0</v>
      </c>
      <c r="AD21" s="53">
        <v>5050.0</v>
      </c>
      <c r="AE21" s="53">
        <v>5817.0</v>
      </c>
      <c r="AF21" s="53">
        <v>4746.0</v>
      </c>
      <c r="AG21" s="53">
        <v>4739.0</v>
      </c>
      <c r="AH21" s="41"/>
      <c r="AI21" s="41"/>
    </row>
    <row r="22" ht="12.75" customHeight="1">
      <c r="A22" s="82" t="s">
        <v>306</v>
      </c>
      <c r="B22" s="83" t="s">
        <v>307</v>
      </c>
      <c r="C22" s="53">
        <v>21752.0</v>
      </c>
      <c r="D22" s="53">
        <v>21677.0</v>
      </c>
      <c r="E22" s="53">
        <v>21160.0</v>
      </c>
      <c r="F22" s="53">
        <v>236.0</v>
      </c>
      <c r="G22" s="53">
        <v>207.0</v>
      </c>
      <c r="H22" s="53">
        <v>0.0</v>
      </c>
      <c r="I22" s="53">
        <v>0.0</v>
      </c>
      <c r="J22" s="53">
        <v>0.0</v>
      </c>
      <c r="K22" s="53">
        <v>0.0</v>
      </c>
      <c r="L22" s="53">
        <v>8139.0</v>
      </c>
      <c r="M22" s="53">
        <v>8024.0</v>
      </c>
      <c r="N22" s="53">
        <v>0.0</v>
      </c>
      <c r="O22" s="53">
        <v>0.0</v>
      </c>
      <c r="P22" s="53">
        <v>0.0</v>
      </c>
      <c r="Q22" s="53">
        <v>0.0</v>
      </c>
      <c r="R22" s="53">
        <v>0.0</v>
      </c>
      <c r="S22" s="53">
        <v>0.0</v>
      </c>
      <c r="T22" s="53">
        <v>17752.0</v>
      </c>
      <c r="U22" s="53">
        <v>18077.0</v>
      </c>
      <c r="V22" s="53">
        <v>14216.0</v>
      </c>
      <c r="W22" s="53">
        <v>8091.0</v>
      </c>
      <c r="X22" s="53">
        <v>4092.0</v>
      </c>
      <c r="Y22" s="53">
        <v>1191.0</v>
      </c>
      <c r="Z22" s="53">
        <v>0.0</v>
      </c>
      <c r="AA22" s="53">
        <v>0.0</v>
      </c>
      <c r="AB22" s="53">
        <v>0.0</v>
      </c>
      <c r="AC22" s="53">
        <v>0.0</v>
      </c>
      <c r="AD22" s="53">
        <v>0.0</v>
      </c>
      <c r="AE22" s="53">
        <v>0.0</v>
      </c>
      <c r="AF22" s="53">
        <v>0.0</v>
      </c>
      <c r="AG22" s="53">
        <v>0.0</v>
      </c>
      <c r="AH22" s="41"/>
      <c r="AI22" s="41"/>
    </row>
    <row r="23" ht="12.75" customHeight="1">
      <c r="A23" s="82" t="s">
        <v>290</v>
      </c>
      <c r="B23" s="83" t="s">
        <v>291</v>
      </c>
      <c r="C23" s="53">
        <v>0.0</v>
      </c>
      <c r="D23" s="53">
        <v>0.0</v>
      </c>
      <c r="E23" s="53">
        <v>6464.0</v>
      </c>
      <c r="F23" s="53">
        <v>5334.0</v>
      </c>
      <c r="G23" s="53">
        <v>4368.0</v>
      </c>
      <c r="H23" s="53">
        <v>3735.0</v>
      </c>
      <c r="I23" s="53">
        <v>2455.0</v>
      </c>
      <c r="J23" s="53">
        <v>1987.0</v>
      </c>
      <c r="K23" s="53">
        <v>1630.0</v>
      </c>
      <c r="L23" s="53">
        <v>1347.0</v>
      </c>
      <c r="M23" s="53">
        <v>1141.0</v>
      </c>
      <c r="N23" s="53">
        <v>1116.0</v>
      </c>
      <c r="O23" s="53">
        <v>0.0</v>
      </c>
      <c r="P23" s="53">
        <v>34388.0</v>
      </c>
      <c r="Q23" s="53">
        <v>34857.0</v>
      </c>
      <c r="R23" s="53">
        <v>35427.0</v>
      </c>
      <c r="S23" s="53">
        <v>36386.0</v>
      </c>
      <c r="T23" s="53">
        <v>31288.0</v>
      </c>
      <c r="U23" s="53">
        <v>43978.0</v>
      </c>
      <c r="V23" s="53">
        <v>73766.0</v>
      </c>
      <c r="W23" s="53">
        <v>77066.0</v>
      </c>
      <c r="X23" s="53">
        <v>81709.0</v>
      </c>
      <c r="Y23" s="53">
        <v>114129.0</v>
      </c>
      <c r="Z23" s="53">
        <v>116759.0</v>
      </c>
      <c r="AA23" s="53">
        <v>178231.0</v>
      </c>
      <c r="AB23" s="53">
        <v>179074.0</v>
      </c>
      <c r="AC23" s="53">
        <v>181564.0</v>
      </c>
      <c r="AD23" s="53">
        <v>188845.0</v>
      </c>
      <c r="AE23" s="53">
        <v>182538.0</v>
      </c>
      <c r="AF23" s="53">
        <v>183976.0</v>
      </c>
      <c r="AG23" s="53">
        <v>192747.0</v>
      </c>
      <c r="AH23" s="41"/>
      <c r="AI23" s="41"/>
    </row>
    <row r="24" ht="12.75" customHeight="1">
      <c r="A24" s="82" t="s">
        <v>308</v>
      </c>
      <c r="B24" s="83" t="s">
        <v>309</v>
      </c>
      <c r="C24" s="85">
        <v>57913.0</v>
      </c>
      <c r="D24" s="85">
        <v>67192.0</v>
      </c>
      <c r="E24" s="85">
        <v>69772.0</v>
      </c>
      <c r="F24" s="85">
        <v>69171.0</v>
      </c>
      <c r="G24" s="85">
        <v>69562.0</v>
      </c>
      <c r="H24" s="85">
        <v>68411.0</v>
      </c>
      <c r="I24" s="85">
        <v>74341.0</v>
      </c>
      <c r="J24" s="85">
        <v>71955.0</v>
      </c>
      <c r="K24" s="85">
        <v>92805.0</v>
      </c>
      <c r="L24" s="53">
        <v>97756.0</v>
      </c>
      <c r="M24" s="53">
        <v>100696.0</v>
      </c>
      <c r="N24" s="53">
        <v>92770.0</v>
      </c>
      <c r="O24" s="53">
        <v>101706.0</v>
      </c>
      <c r="P24" s="53">
        <v>89297.0</v>
      </c>
      <c r="Q24" s="53">
        <v>97102.0</v>
      </c>
      <c r="R24" s="53">
        <v>99621.0</v>
      </c>
      <c r="S24" s="53">
        <v>84577.0</v>
      </c>
      <c r="T24" s="53">
        <v>96516.0</v>
      </c>
      <c r="U24" s="53">
        <v>107067.0</v>
      </c>
      <c r="V24" s="53">
        <v>111231.0</v>
      </c>
      <c r="W24" s="53">
        <v>108091.0</v>
      </c>
      <c r="X24" s="53">
        <v>105384.0</v>
      </c>
      <c r="Y24" s="53">
        <v>110891.0</v>
      </c>
      <c r="Z24" s="53">
        <v>127483.0</v>
      </c>
      <c r="AA24" s="53">
        <v>140657.0</v>
      </c>
      <c r="AB24" s="53">
        <v>148965.0</v>
      </c>
      <c r="AC24" s="53">
        <v>163523.0</v>
      </c>
      <c r="AD24" s="53">
        <v>179830.0</v>
      </c>
      <c r="AE24" s="53">
        <v>193669.0</v>
      </c>
      <c r="AF24" s="53">
        <v>196743.0</v>
      </c>
      <c r="AG24" s="53">
        <v>213101.0</v>
      </c>
      <c r="AH24" s="41"/>
      <c r="AI24" s="41"/>
    </row>
    <row r="25" ht="12.75" customHeight="1">
      <c r="A25" s="82" t="s">
        <v>292</v>
      </c>
      <c r="B25" s="83" t="s">
        <v>293</v>
      </c>
      <c r="C25" s="85">
        <v>26834.0</v>
      </c>
      <c r="D25" s="85">
        <v>28193.0</v>
      </c>
      <c r="E25" s="85">
        <v>27559.0</v>
      </c>
      <c r="F25" s="85">
        <v>26340.0</v>
      </c>
      <c r="G25" s="85">
        <v>22907.0</v>
      </c>
      <c r="H25" s="85">
        <v>29302.0</v>
      </c>
      <c r="I25" s="85">
        <v>51988.0</v>
      </c>
      <c r="J25" s="85">
        <v>57395.0</v>
      </c>
      <c r="K25" s="85">
        <v>65203.0</v>
      </c>
      <c r="L25" s="53">
        <v>60161.0</v>
      </c>
      <c r="M25" s="53">
        <v>59154.0</v>
      </c>
      <c r="N25" s="53">
        <v>57928.0</v>
      </c>
      <c r="O25" s="53">
        <v>61481.0</v>
      </c>
      <c r="P25" s="53">
        <v>78855.0</v>
      </c>
      <c r="Q25" s="53">
        <v>97814.0</v>
      </c>
      <c r="R25" s="53">
        <v>86703.0</v>
      </c>
      <c r="S25" s="53">
        <v>81367.0</v>
      </c>
      <c r="T25" s="53">
        <v>73645.0</v>
      </c>
      <c r="U25" s="53">
        <v>70506.0</v>
      </c>
      <c r="V25" s="53">
        <v>71563.0</v>
      </c>
      <c r="W25" s="53">
        <v>71662.0</v>
      </c>
      <c r="X25" s="53">
        <v>61847.0</v>
      </c>
      <c r="Y25" s="53">
        <v>57318.0</v>
      </c>
      <c r="Z25" s="53">
        <v>68699.0</v>
      </c>
      <c r="AA25" s="53">
        <v>72900.0</v>
      </c>
      <c r="AB25" s="53">
        <v>79063.0</v>
      </c>
      <c r="AC25" s="53">
        <v>103003.0</v>
      </c>
      <c r="AD25" s="53">
        <v>116522.0</v>
      </c>
      <c r="AE25" s="53">
        <v>135362.0</v>
      </c>
      <c r="AF25" s="53">
        <v>166598.0</v>
      </c>
      <c r="AG25" s="53">
        <v>158570.0</v>
      </c>
      <c r="AH25" s="41"/>
      <c r="AI25" s="41"/>
    </row>
    <row r="26" ht="12.75" customHeight="1">
      <c r="A26" s="82"/>
      <c r="B26" s="83"/>
      <c r="C26" s="84"/>
      <c r="D26" s="84"/>
      <c r="E26" s="84"/>
      <c r="F26" s="84"/>
      <c r="G26" s="84"/>
      <c r="H26" s="84"/>
      <c r="I26" s="84"/>
      <c r="J26" s="84"/>
      <c r="K26" s="84"/>
      <c r="L26" s="84"/>
      <c r="M26" s="84"/>
      <c r="N26" s="84"/>
      <c r="O26" s="41"/>
      <c r="P26" s="41"/>
      <c r="Q26" s="41"/>
      <c r="R26" s="70"/>
      <c r="S26" s="70"/>
      <c r="T26" s="70"/>
      <c r="U26" s="70"/>
      <c r="V26" s="70"/>
      <c r="W26" s="70"/>
      <c r="X26" s="70"/>
      <c r="Y26" s="70"/>
      <c r="Z26" s="70"/>
      <c r="AA26" s="70"/>
      <c r="AB26" s="70"/>
      <c r="AC26" s="70"/>
      <c r="AD26" s="70"/>
      <c r="AE26" s="70"/>
      <c r="AF26" s="70"/>
      <c r="AG26" s="70"/>
      <c r="AH26" s="41"/>
      <c r="AI26" s="41"/>
    </row>
    <row r="27" ht="12.75" customHeight="1">
      <c r="A27" s="82" t="s">
        <v>310</v>
      </c>
      <c r="B27" s="83" t="s">
        <v>311</v>
      </c>
      <c r="C27" s="85">
        <v>2407.0</v>
      </c>
      <c r="D27" s="85">
        <v>2589.0</v>
      </c>
      <c r="E27" s="85">
        <v>2551.0</v>
      </c>
      <c r="F27" s="85">
        <v>3129.0</v>
      </c>
      <c r="G27" s="85">
        <v>3054.0</v>
      </c>
      <c r="H27" s="85">
        <v>3033.0</v>
      </c>
      <c r="I27" s="85">
        <v>3204.0</v>
      </c>
      <c r="J27" s="85">
        <v>3120.0</v>
      </c>
      <c r="K27" s="85">
        <v>3239.0</v>
      </c>
      <c r="L27" s="85">
        <v>3464.0</v>
      </c>
      <c r="M27" s="85">
        <v>3402.0</v>
      </c>
      <c r="N27" s="85">
        <v>3476.0</v>
      </c>
      <c r="O27" s="53">
        <v>3707.0</v>
      </c>
      <c r="P27" s="53">
        <v>2797.0</v>
      </c>
      <c r="Q27" s="53">
        <v>2982.0</v>
      </c>
      <c r="R27" s="53">
        <v>3075.0</v>
      </c>
      <c r="S27" s="53">
        <v>2695.0</v>
      </c>
      <c r="T27" s="53">
        <v>2943.0</v>
      </c>
      <c r="U27" s="53">
        <v>3036.0</v>
      </c>
      <c r="V27" s="53">
        <v>0.0</v>
      </c>
      <c r="W27" s="53">
        <v>0.0</v>
      </c>
      <c r="X27" s="53">
        <v>0.0</v>
      </c>
      <c r="Y27" s="53">
        <v>324573.0</v>
      </c>
      <c r="Z27" s="53">
        <v>323367.0</v>
      </c>
      <c r="AA27" s="53">
        <v>319106.0</v>
      </c>
      <c r="AB27" s="53">
        <v>315545.0</v>
      </c>
      <c r="AC27" s="53">
        <v>317603.0</v>
      </c>
      <c r="AD27" s="53">
        <v>321796.0</v>
      </c>
      <c r="AE27" s="53">
        <v>324770.0</v>
      </c>
      <c r="AF27" s="53">
        <v>324923.0</v>
      </c>
      <c r="AG27" s="53">
        <v>314411.0</v>
      </c>
      <c r="AH27" s="41"/>
      <c r="AI27" s="41"/>
    </row>
    <row r="28" ht="12.75" customHeight="1">
      <c r="A28" s="82" t="s">
        <v>312</v>
      </c>
      <c r="B28" s="83" t="s">
        <v>313</v>
      </c>
      <c r="C28" s="85">
        <v>185986.0</v>
      </c>
      <c r="D28" s="85">
        <v>186075.0</v>
      </c>
      <c r="E28" s="85">
        <v>189393.0</v>
      </c>
      <c r="F28" s="85">
        <v>198826.0</v>
      </c>
      <c r="G28" s="85">
        <v>416837.0</v>
      </c>
      <c r="H28" s="85">
        <v>402844.0</v>
      </c>
      <c r="I28" s="85">
        <v>388057.0</v>
      </c>
      <c r="J28" s="85">
        <v>389432.0</v>
      </c>
      <c r="K28" s="85">
        <v>393959.0</v>
      </c>
      <c r="L28" s="85">
        <v>387229.0</v>
      </c>
      <c r="M28" s="85">
        <v>378120.0</v>
      </c>
      <c r="N28" s="85">
        <v>364447.0</v>
      </c>
      <c r="O28" s="53">
        <v>388788.0</v>
      </c>
      <c r="P28" s="53">
        <v>385111.0</v>
      </c>
      <c r="Q28" s="53">
        <v>387470.0</v>
      </c>
      <c r="R28" s="53">
        <v>398496.0</v>
      </c>
      <c r="S28" s="53">
        <v>407399.0</v>
      </c>
      <c r="T28" s="53">
        <v>405241.0</v>
      </c>
      <c r="U28" s="53">
        <v>415777.0</v>
      </c>
      <c r="V28" s="53">
        <v>416875.0</v>
      </c>
      <c r="W28" s="53">
        <v>422161.0</v>
      </c>
      <c r="X28" s="53">
        <v>423663.0</v>
      </c>
      <c r="Y28" s="53">
        <v>424418.0</v>
      </c>
      <c r="Z28" s="53">
        <v>413486.0</v>
      </c>
      <c r="AA28" s="53">
        <v>405689.0</v>
      </c>
      <c r="AB28" s="53">
        <v>400429.0</v>
      </c>
      <c r="AC28" s="53">
        <v>397524.0</v>
      </c>
      <c r="AD28" s="53">
        <v>399215.0</v>
      </c>
      <c r="AE28" s="53">
        <v>418894.0</v>
      </c>
      <c r="AF28" s="53">
        <v>423074.0</v>
      </c>
      <c r="AG28" s="53">
        <v>456734.0</v>
      </c>
      <c r="AH28" s="41"/>
      <c r="AI28" s="41"/>
    </row>
    <row r="29" ht="12.75" customHeight="1">
      <c r="A29" s="82" t="s">
        <v>314</v>
      </c>
      <c r="B29" s="83" t="s">
        <v>315</v>
      </c>
      <c r="C29" s="85">
        <v>941807.0</v>
      </c>
      <c r="D29" s="85">
        <v>928468.0</v>
      </c>
      <c r="E29" s="85">
        <v>927116.0</v>
      </c>
      <c r="F29" s="85">
        <v>857128.0</v>
      </c>
      <c r="G29" s="85">
        <v>839916.0</v>
      </c>
      <c r="H29" s="85">
        <v>830317.0</v>
      </c>
      <c r="I29" s="85">
        <v>817616.0</v>
      </c>
      <c r="J29" s="85">
        <v>810697.0</v>
      </c>
      <c r="K29" s="85">
        <v>1031418.0</v>
      </c>
      <c r="L29" s="85">
        <v>1590955.0</v>
      </c>
      <c r="M29" s="85">
        <v>1567313.0</v>
      </c>
      <c r="N29" s="85">
        <v>1586177.0</v>
      </c>
      <c r="O29" s="53">
        <v>1074309.0</v>
      </c>
      <c r="P29" s="53">
        <v>3137086.0</v>
      </c>
      <c r="Q29" s="53">
        <v>3149528.0</v>
      </c>
      <c r="R29" s="53">
        <v>3141338.0</v>
      </c>
      <c r="S29" s="53">
        <v>3283360.0</v>
      </c>
      <c r="T29" s="53">
        <v>3329185.0</v>
      </c>
      <c r="U29" s="53">
        <v>3492907.0</v>
      </c>
      <c r="V29" s="53">
        <v>3505765.0</v>
      </c>
      <c r="W29" s="53">
        <v>3502339.0</v>
      </c>
      <c r="X29" s="53">
        <v>3641474.0</v>
      </c>
      <c r="Y29" s="53">
        <v>3688497.0</v>
      </c>
      <c r="Z29" s="53">
        <v>3671227.0</v>
      </c>
      <c r="AA29" s="53">
        <v>4339314.0</v>
      </c>
      <c r="AB29" s="53">
        <v>4315393.0</v>
      </c>
      <c r="AC29" s="53">
        <v>4273733.0</v>
      </c>
      <c r="AD29" s="53">
        <v>4261225.0</v>
      </c>
      <c r="AE29" s="53">
        <v>4199832.0</v>
      </c>
      <c r="AF29" s="53">
        <v>4203673.0</v>
      </c>
      <c r="AG29" s="53">
        <v>4444565.0</v>
      </c>
      <c r="AH29" s="41"/>
      <c r="AI29" s="41"/>
    </row>
    <row r="30" ht="12.75" customHeight="1">
      <c r="A30" s="82"/>
      <c r="B30" s="83"/>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41"/>
      <c r="AI30" s="41"/>
    </row>
    <row r="31" ht="12.75" customHeight="1">
      <c r="A31" s="79" t="s">
        <v>316</v>
      </c>
      <c r="B31" s="80" t="s">
        <v>317</v>
      </c>
      <c r="C31" s="81">
        <f t="shared" ref="C31:AG31" si="5">C32+C46+C58</f>
        <v>2465242</v>
      </c>
      <c r="D31" s="81">
        <f t="shared" si="5"/>
        <v>2470229</v>
      </c>
      <c r="E31" s="81">
        <f t="shared" si="5"/>
        <v>2492641</v>
      </c>
      <c r="F31" s="81">
        <f t="shared" si="5"/>
        <v>2391277</v>
      </c>
      <c r="G31" s="81">
        <f t="shared" si="5"/>
        <v>2585845</v>
      </c>
      <c r="H31" s="81">
        <f t="shared" si="5"/>
        <v>3637843</v>
      </c>
      <c r="I31" s="81">
        <f t="shared" si="5"/>
        <v>3598169</v>
      </c>
      <c r="J31" s="81">
        <f t="shared" si="5"/>
        <v>3535927</v>
      </c>
      <c r="K31" s="81">
        <f t="shared" si="5"/>
        <v>3606096</v>
      </c>
      <c r="L31" s="81">
        <f t="shared" si="5"/>
        <v>4170898</v>
      </c>
      <c r="M31" s="81">
        <f t="shared" si="5"/>
        <v>3988742</v>
      </c>
      <c r="N31" s="81">
        <f t="shared" si="5"/>
        <v>4135123</v>
      </c>
      <c r="O31" s="81">
        <f t="shared" si="5"/>
        <v>5435295</v>
      </c>
      <c r="P31" s="81">
        <f t="shared" si="5"/>
        <v>7603199</v>
      </c>
      <c r="Q31" s="81">
        <f t="shared" si="5"/>
        <v>9425288</v>
      </c>
      <c r="R31" s="81">
        <f t="shared" si="5"/>
        <v>9945028</v>
      </c>
      <c r="S31" s="81">
        <f t="shared" si="5"/>
        <v>10083277</v>
      </c>
      <c r="T31" s="81">
        <f t="shared" si="5"/>
        <v>10218609</v>
      </c>
      <c r="U31" s="81">
        <f t="shared" si="5"/>
        <v>10599389</v>
      </c>
      <c r="V31" s="81">
        <f t="shared" si="5"/>
        <v>10616193</v>
      </c>
      <c r="W31" s="81">
        <f t="shared" si="5"/>
        <v>10235594</v>
      </c>
      <c r="X31" s="81">
        <f t="shared" si="5"/>
        <v>10923298</v>
      </c>
      <c r="Y31" s="81">
        <f t="shared" si="5"/>
        <v>8755181</v>
      </c>
      <c r="Z31" s="81">
        <f t="shared" si="5"/>
        <v>8828860</v>
      </c>
      <c r="AA31" s="81">
        <f t="shared" si="5"/>
        <v>9023831</v>
      </c>
      <c r="AB31" s="81">
        <f t="shared" si="5"/>
        <v>8702896</v>
      </c>
      <c r="AC31" s="81">
        <f t="shared" si="5"/>
        <v>8780352</v>
      </c>
      <c r="AD31" s="81">
        <f t="shared" si="5"/>
        <v>8531721</v>
      </c>
      <c r="AE31" s="81">
        <f t="shared" si="5"/>
        <v>8685594</v>
      </c>
      <c r="AF31" s="81">
        <f t="shared" si="5"/>
        <v>8962553</v>
      </c>
      <c r="AG31" s="81">
        <f t="shared" si="5"/>
        <v>9219852</v>
      </c>
      <c r="AH31" s="41"/>
      <c r="AI31" s="41"/>
    </row>
    <row r="32" ht="12.75" customHeight="1">
      <c r="A32" s="79" t="s">
        <v>277</v>
      </c>
      <c r="B32" s="80" t="s">
        <v>318</v>
      </c>
      <c r="C32" s="81">
        <f t="shared" ref="C32:AG32" si="6">SUM(C33:C44)</f>
        <v>634244</v>
      </c>
      <c r="D32" s="81">
        <f t="shared" si="6"/>
        <v>619774</v>
      </c>
      <c r="E32" s="81">
        <f t="shared" si="6"/>
        <v>746985</v>
      </c>
      <c r="F32" s="81">
        <f t="shared" si="6"/>
        <v>709612</v>
      </c>
      <c r="G32" s="81">
        <f t="shared" si="6"/>
        <v>706705</v>
      </c>
      <c r="H32" s="81">
        <f t="shared" si="6"/>
        <v>666765</v>
      </c>
      <c r="I32" s="81">
        <f t="shared" si="6"/>
        <v>768434</v>
      </c>
      <c r="J32" s="81">
        <f t="shared" si="6"/>
        <v>705552</v>
      </c>
      <c r="K32" s="81">
        <f t="shared" si="6"/>
        <v>699633</v>
      </c>
      <c r="L32" s="81">
        <f t="shared" si="6"/>
        <v>1127504</v>
      </c>
      <c r="M32" s="81">
        <f t="shared" si="6"/>
        <v>899010</v>
      </c>
      <c r="N32" s="81">
        <f t="shared" si="6"/>
        <v>1028748</v>
      </c>
      <c r="O32" s="81">
        <f t="shared" si="6"/>
        <v>2193321</v>
      </c>
      <c r="P32" s="81">
        <f t="shared" si="6"/>
        <v>2726600</v>
      </c>
      <c r="Q32" s="81">
        <f t="shared" si="6"/>
        <v>3086213</v>
      </c>
      <c r="R32" s="81">
        <f t="shared" si="6"/>
        <v>3323782</v>
      </c>
      <c r="S32" s="81">
        <f t="shared" si="6"/>
        <v>3300400</v>
      </c>
      <c r="T32" s="81">
        <f t="shared" si="6"/>
        <v>3527566</v>
      </c>
      <c r="U32" s="81">
        <f t="shared" si="6"/>
        <v>3203815</v>
      </c>
      <c r="V32" s="81">
        <f t="shared" si="6"/>
        <v>3336366</v>
      </c>
      <c r="W32" s="81">
        <f t="shared" si="6"/>
        <v>2983881</v>
      </c>
      <c r="X32" s="81">
        <f t="shared" si="6"/>
        <v>3755770</v>
      </c>
      <c r="Y32" s="81">
        <f t="shared" si="6"/>
        <v>1297166</v>
      </c>
      <c r="Z32" s="81">
        <f t="shared" si="6"/>
        <v>1348729</v>
      </c>
      <c r="AA32" s="81">
        <f t="shared" si="6"/>
        <v>1427272</v>
      </c>
      <c r="AB32" s="81">
        <f t="shared" si="6"/>
        <v>1280133</v>
      </c>
      <c r="AC32" s="81">
        <f t="shared" si="6"/>
        <v>1253991</v>
      </c>
      <c r="AD32" s="81">
        <f t="shared" si="6"/>
        <v>1144197</v>
      </c>
      <c r="AE32" s="81">
        <f t="shared" si="6"/>
        <v>1158394</v>
      </c>
      <c r="AF32" s="81">
        <f t="shared" si="6"/>
        <v>1343319</v>
      </c>
      <c r="AG32" s="81">
        <f t="shared" si="6"/>
        <v>1339676</v>
      </c>
      <c r="AH32" s="41"/>
      <c r="AI32" s="41"/>
    </row>
    <row r="33" ht="12.75" customHeight="1">
      <c r="A33" s="82" t="s">
        <v>319</v>
      </c>
      <c r="B33" s="83" t="s">
        <v>320</v>
      </c>
      <c r="C33" s="53">
        <v>147531.0</v>
      </c>
      <c r="D33" s="53">
        <v>169429.0</v>
      </c>
      <c r="E33" s="53">
        <v>192050.0</v>
      </c>
      <c r="F33" s="53">
        <v>174874.0</v>
      </c>
      <c r="G33" s="53">
        <v>168334.0</v>
      </c>
      <c r="H33" s="53">
        <v>190874.0</v>
      </c>
      <c r="I33" s="53">
        <v>217227.0</v>
      </c>
      <c r="J33" s="53">
        <v>193472.0</v>
      </c>
      <c r="K33" s="53">
        <v>190583.0</v>
      </c>
      <c r="L33" s="53">
        <v>235415.0</v>
      </c>
      <c r="M33" s="53">
        <v>238636.0</v>
      </c>
      <c r="N33" s="53">
        <v>211603.0</v>
      </c>
      <c r="O33" s="53">
        <v>207906.0</v>
      </c>
      <c r="P33" s="53">
        <v>319693.0</v>
      </c>
      <c r="Q33" s="53">
        <v>287922.0</v>
      </c>
      <c r="R33" s="53">
        <v>273974.0</v>
      </c>
      <c r="S33" s="53">
        <v>278175.0</v>
      </c>
      <c r="T33" s="53">
        <v>353390.0</v>
      </c>
      <c r="U33" s="53">
        <v>349392.0</v>
      </c>
      <c r="V33" s="53">
        <v>317684.0</v>
      </c>
      <c r="W33" s="53">
        <v>321109.0</v>
      </c>
      <c r="X33" s="53">
        <v>406082.0</v>
      </c>
      <c r="Y33" s="53">
        <v>414207.0</v>
      </c>
      <c r="Z33" s="53">
        <v>375960.0</v>
      </c>
      <c r="AA33" s="53">
        <v>407683.0</v>
      </c>
      <c r="AB33" s="53">
        <v>478996.0</v>
      </c>
      <c r="AC33" s="53">
        <v>473272.0</v>
      </c>
      <c r="AD33" s="53">
        <v>438679.0</v>
      </c>
      <c r="AE33" s="53">
        <v>442831.0</v>
      </c>
      <c r="AF33" s="53">
        <v>547042.0</v>
      </c>
      <c r="AG33" s="53">
        <v>544748.0</v>
      </c>
      <c r="AH33" s="41"/>
      <c r="AI33" s="41"/>
    </row>
    <row r="34" ht="12.75" customHeight="1">
      <c r="A34" s="82" t="s">
        <v>321</v>
      </c>
      <c r="B34" s="83" t="s">
        <v>322</v>
      </c>
      <c r="C34" s="53">
        <v>40465.0</v>
      </c>
      <c r="D34" s="53">
        <v>39562.0</v>
      </c>
      <c r="E34" s="53">
        <v>41700.0</v>
      </c>
      <c r="F34" s="53">
        <v>47466.0</v>
      </c>
      <c r="G34" s="53">
        <v>44757.0</v>
      </c>
      <c r="H34" s="53">
        <v>53036.0</v>
      </c>
      <c r="I34" s="53">
        <v>55511.0</v>
      </c>
      <c r="J34" s="53">
        <v>55203.0</v>
      </c>
      <c r="K34" s="53">
        <v>53701.0</v>
      </c>
      <c r="L34" s="53">
        <v>99969.0</v>
      </c>
      <c r="M34" s="53">
        <v>89580.0</v>
      </c>
      <c r="N34" s="53">
        <v>74558.0</v>
      </c>
      <c r="O34" s="53">
        <v>63785.0</v>
      </c>
      <c r="P34" s="53">
        <v>68338.0</v>
      </c>
      <c r="Q34" s="53">
        <v>69031.0</v>
      </c>
      <c r="R34" s="53">
        <v>73605.0</v>
      </c>
      <c r="S34" s="53">
        <v>71857.0</v>
      </c>
      <c r="T34" s="53">
        <v>90197.0</v>
      </c>
      <c r="U34" s="53">
        <v>87792.0</v>
      </c>
      <c r="V34" s="53">
        <v>95042.0</v>
      </c>
      <c r="W34" s="53">
        <v>94422.0</v>
      </c>
      <c r="X34" s="53">
        <v>97955.0</v>
      </c>
      <c r="Y34" s="53">
        <v>110232.0</v>
      </c>
      <c r="Z34" s="53">
        <v>107427.0</v>
      </c>
      <c r="AA34" s="53">
        <v>116237.0</v>
      </c>
      <c r="AB34" s="53">
        <v>119837.0</v>
      </c>
      <c r="AC34" s="53">
        <v>113945.0</v>
      </c>
      <c r="AD34" s="53">
        <v>122612.0</v>
      </c>
      <c r="AE34" s="53">
        <v>121373.0</v>
      </c>
      <c r="AF34" s="53">
        <v>131815.0</v>
      </c>
      <c r="AG34" s="53">
        <v>134462.0</v>
      </c>
      <c r="AH34" s="41"/>
      <c r="AI34" s="41"/>
    </row>
    <row r="35" ht="12.75" customHeight="1">
      <c r="A35" s="82" t="s">
        <v>323</v>
      </c>
      <c r="B35" s="83" t="s">
        <v>324</v>
      </c>
      <c r="C35" s="53">
        <v>180979.0</v>
      </c>
      <c r="D35" s="53">
        <v>181079.0</v>
      </c>
      <c r="E35" s="53">
        <v>181090.0</v>
      </c>
      <c r="F35" s="53">
        <v>152927.0</v>
      </c>
      <c r="G35" s="53">
        <v>110559.0</v>
      </c>
      <c r="H35" s="53">
        <v>67803.0</v>
      </c>
      <c r="I35" s="53">
        <v>23333.0</v>
      </c>
      <c r="J35" s="53">
        <v>6363.0</v>
      </c>
      <c r="K35" s="53">
        <v>3649.0</v>
      </c>
      <c r="L35" s="53">
        <v>11071.0</v>
      </c>
      <c r="M35" s="53">
        <v>0.0</v>
      </c>
      <c r="N35" s="53">
        <v>101525.0</v>
      </c>
      <c r="O35" s="53">
        <v>0.0</v>
      </c>
      <c r="P35" s="53">
        <v>0.0</v>
      </c>
      <c r="Q35" s="53">
        <v>0.0</v>
      </c>
      <c r="R35" s="53">
        <v>0.0</v>
      </c>
      <c r="S35" s="53">
        <v>0.0</v>
      </c>
      <c r="T35" s="53">
        <v>0.0</v>
      </c>
      <c r="U35" s="53">
        <v>343.0</v>
      </c>
      <c r="V35" s="53">
        <v>170.0</v>
      </c>
      <c r="W35" s="53">
        <v>50.0</v>
      </c>
      <c r="X35" s="53">
        <v>0.0</v>
      </c>
      <c r="Y35" s="53">
        <v>32084.0</v>
      </c>
      <c r="Z35" s="53">
        <v>32083.0</v>
      </c>
      <c r="AA35" s="53">
        <v>1708.0</v>
      </c>
      <c r="AB35" s="53">
        <v>0.0</v>
      </c>
      <c r="AC35" s="53">
        <v>0.0</v>
      </c>
      <c r="AD35" s="53">
        <v>0.0</v>
      </c>
      <c r="AE35" s="53">
        <v>0.0</v>
      </c>
      <c r="AF35" s="53">
        <v>0.0</v>
      </c>
      <c r="AG35" s="53">
        <v>0.0</v>
      </c>
      <c r="AH35" s="41"/>
      <c r="AI35" s="41"/>
    </row>
    <row r="36" ht="12.75" customHeight="1">
      <c r="A36" s="82" t="s">
        <v>325</v>
      </c>
      <c r="B36" s="83" t="s">
        <v>326</v>
      </c>
      <c r="C36" s="53">
        <v>18587.0</v>
      </c>
      <c r="D36" s="53">
        <v>17834.0</v>
      </c>
      <c r="E36" s="53">
        <v>15401.0</v>
      </c>
      <c r="F36" s="53">
        <v>13227.0</v>
      </c>
      <c r="G36" s="53">
        <v>68150.0</v>
      </c>
      <c r="H36" s="53">
        <v>62717.0</v>
      </c>
      <c r="I36" s="53">
        <v>49910.0</v>
      </c>
      <c r="J36" s="53">
        <v>49260.0</v>
      </c>
      <c r="K36" s="53">
        <v>47588.0</v>
      </c>
      <c r="L36" s="53">
        <v>47323.0</v>
      </c>
      <c r="M36" s="53">
        <v>46785.0</v>
      </c>
      <c r="N36" s="53">
        <v>45281.0</v>
      </c>
      <c r="O36" s="53">
        <v>53496.0</v>
      </c>
      <c r="P36" s="53">
        <v>51429.0</v>
      </c>
      <c r="Q36" s="53">
        <v>51197.0</v>
      </c>
      <c r="R36" s="53">
        <v>51536.0</v>
      </c>
      <c r="S36" s="53">
        <v>58131.0</v>
      </c>
      <c r="T36" s="53">
        <v>56672.0</v>
      </c>
      <c r="U36" s="53">
        <v>56549.0</v>
      </c>
      <c r="V36" s="53">
        <v>57285.0</v>
      </c>
      <c r="W36" s="53">
        <v>57636.0</v>
      </c>
      <c r="X36" s="53">
        <v>59469.0</v>
      </c>
      <c r="Y36" s="53">
        <v>58414.0</v>
      </c>
      <c r="Z36" s="53">
        <v>58618.0</v>
      </c>
      <c r="AA36" s="53">
        <v>59838.0</v>
      </c>
      <c r="AB36" s="53">
        <v>57525.0</v>
      </c>
      <c r="AC36" s="53">
        <v>58195.0</v>
      </c>
      <c r="AD36" s="53">
        <v>58133.0</v>
      </c>
      <c r="AE36" s="53">
        <v>60100.0</v>
      </c>
      <c r="AF36" s="53">
        <v>67315.0</v>
      </c>
      <c r="AG36" s="53">
        <v>70654.0</v>
      </c>
      <c r="AH36" s="41"/>
      <c r="AI36" s="41"/>
    </row>
    <row r="37" ht="12.75" customHeight="1">
      <c r="A37" s="82" t="s">
        <v>327</v>
      </c>
      <c r="B37" s="83" t="s">
        <v>328</v>
      </c>
      <c r="C37" s="53">
        <v>356.0</v>
      </c>
      <c r="D37" s="53">
        <v>3717.0</v>
      </c>
      <c r="E37" s="53">
        <v>72035.0</v>
      </c>
      <c r="F37" s="53">
        <v>77319.0</v>
      </c>
      <c r="G37" s="53">
        <v>76238.0</v>
      </c>
      <c r="H37" s="53">
        <v>81964.0</v>
      </c>
      <c r="I37" s="53">
        <v>200288.0</v>
      </c>
      <c r="J37" s="53">
        <v>202973.0</v>
      </c>
      <c r="K37" s="53">
        <v>200257.0</v>
      </c>
      <c r="L37" s="53">
        <v>403787.0</v>
      </c>
      <c r="M37" s="53">
        <v>0.0</v>
      </c>
      <c r="N37" s="53">
        <v>0.0</v>
      </c>
      <c r="O37" s="53">
        <v>0.0</v>
      </c>
      <c r="P37" s="53">
        <v>2993.0</v>
      </c>
      <c r="Q37" s="53">
        <v>27365.0</v>
      </c>
      <c r="R37" s="53">
        <v>385988.0</v>
      </c>
      <c r="S37" s="53">
        <v>430872.0</v>
      </c>
      <c r="T37" s="53">
        <v>518245.0</v>
      </c>
      <c r="U37" s="53">
        <v>5151.0</v>
      </c>
      <c r="V37" s="53">
        <v>58701.0</v>
      </c>
      <c r="W37" s="53">
        <v>8728.0</v>
      </c>
      <c r="X37" s="53">
        <v>61331.0</v>
      </c>
      <c r="Y37" s="53">
        <v>7327.0</v>
      </c>
      <c r="Z37" s="53">
        <v>55208.0</v>
      </c>
      <c r="AA37" s="53">
        <v>10279.0</v>
      </c>
      <c r="AB37" s="53">
        <v>48594.0</v>
      </c>
      <c r="AC37" s="53">
        <v>18480.0</v>
      </c>
      <c r="AD37" s="53">
        <v>62845.0</v>
      </c>
      <c r="AE37" s="53">
        <v>33383.0</v>
      </c>
      <c r="AF37" s="53">
        <v>88182.0</v>
      </c>
      <c r="AG37" s="53">
        <v>40692.0</v>
      </c>
      <c r="AH37" s="41"/>
      <c r="AI37" s="41"/>
    </row>
    <row r="38" ht="12.75" customHeight="1">
      <c r="A38" s="82" t="s">
        <v>329</v>
      </c>
      <c r="B38" s="83" t="s">
        <v>330</v>
      </c>
      <c r="C38" s="53">
        <v>91276.0</v>
      </c>
      <c r="D38" s="53">
        <v>95745.0</v>
      </c>
      <c r="E38" s="53">
        <v>101543.0</v>
      </c>
      <c r="F38" s="53">
        <v>113907.0</v>
      </c>
      <c r="G38" s="53">
        <v>70560.0</v>
      </c>
      <c r="H38" s="53">
        <v>61544.0</v>
      </c>
      <c r="I38" s="53">
        <v>55512.0</v>
      </c>
      <c r="J38" s="53">
        <v>63821.0</v>
      </c>
      <c r="K38" s="53">
        <v>66238.0</v>
      </c>
      <c r="L38" s="53">
        <v>75153.0</v>
      </c>
      <c r="M38" s="53">
        <v>91360.0</v>
      </c>
      <c r="N38" s="53">
        <v>99109.0</v>
      </c>
      <c r="O38" s="53">
        <v>70988.0</v>
      </c>
      <c r="P38" s="53">
        <v>102242.0</v>
      </c>
      <c r="Q38" s="53">
        <v>108081.0</v>
      </c>
      <c r="R38" s="53">
        <v>105376.0</v>
      </c>
      <c r="S38" s="53">
        <v>102829.0</v>
      </c>
      <c r="T38" s="53">
        <v>102010.0</v>
      </c>
      <c r="U38" s="53">
        <v>118006.0</v>
      </c>
      <c r="V38" s="53">
        <v>128647.0</v>
      </c>
      <c r="W38" s="53">
        <v>112005.0</v>
      </c>
      <c r="X38" s="53">
        <v>200244.0</v>
      </c>
      <c r="Y38" s="53">
        <v>133117.0</v>
      </c>
      <c r="Z38" s="53">
        <v>155266.0</v>
      </c>
      <c r="AA38" s="53">
        <v>171433.0</v>
      </c>
      <c r="AB38" s="53">
        <v>194614.0</v>
      </c>
      <c r="AC38" s="53">
        <v>170444.0</v>
      </c>
      <c r="AD38" s="53">
        <v>211971.0</v>
      </c>
      <c r="AE38" s="53">
        <v>232230.0</v>
      </c>
      <c r="AF38" s="53">
        <v>224300.0</v>
      </c>
      <c r="AG38" s="53">
        <v>209380.0</v>
      </c>
      <c r="AH38" s="41"/>
      <c r="AI38" s="41"/>
    </row>
    <row r="39" ht="12.75" customHeight="1">
      <c r="A39" s="82" t="s">
        <v>331</v>
      </c>
      <c r="B39" s="83" t="s">
        <v>332</v>
      </c>
      <c r="C39" s="53">
        <v>45020.0</v>
      </c>
      <c r="D39" s="53">
        <v>42231.0</v>
      </c>
      <c r="E39" s="53">
        <v>41376.0</v>
      </c>
      <c r="F39" s="53">
        <v>43166.0</v>
      </c>
      <c r="G39" s="53">
        <v>47429.0</v>
      </c>
      <c r="H39" s="53">
        <v>43217.0</v>
      </c>
      <c r="I39" s="53">
        <v>44136.0</v>
      </c>
      <c r="J39" s="53">
        <v>46035.0</v>
      </c>
      <c r="K39" s="53">
        <v>52649.0</v>
      </c>
      <c r="L39" s="53">
        <v>47255.0</v>
      </c>
      <c r="M39" s="53">
        <v>53831.0</v>
      </c>
      <c r="N39" s="53">
        <v>53795.0</v>
      </c>
      <c r="O39" s="53">
        <v>60963.0</v>
      </c>
      <c r="P39" s="53">
        <v>60568.0</v>
      </c>
      <c r="Q39" s="53">
        <v>58838.0</v>
      </c>
      <c r="R39" s="53">
        <v>58158.0</v>
      </c>
      <c r="S39" s="53">
        <v>67516.0</v>
      </c>
      <c r="T39" s="53">
        <v>62330.0</v>
      </c>
      <c r="U39" s="53">
        <v>62406.0</v>
      </c>
      <c r="V39" s="53">
        <v>65518.0</v>
      </c>
      <c r="W39" s="53">
        <v>73849.0</v>
      </c>
      <c r="X39" s="53">
        <v>67997.0</v>
      </c>
      <c r="Y39" s="53">
        <v>64990.0</v>
      </c>
      <c r="Z39" s="53">
        <v>62610.0</v>
      </c>
      <c r="AA39" s="53">
        <v>61228.0</v>
      </c>
      <c r="AB39" s="53">
        <v>52412.0</v>
      </c>
      <c r="AC39" s="53">
        <v>63630.0</v>
      </c>
      <c r="AD39" s="53">
        <v>69126.0</v>
      </c>
      <c r="AE39" s="53">
        <v>60934.0</v>
      </c>
      <c r="AF39" s="53">
        <v>64475.0</v>
      </c>
      <c r="AG39" s="53">
        <v>69762.0</v>
      </c>
      <c r="AH39" s="41"/>
      <c r="AI39" s="41"/>
    </row>
    <row r="40" ht="12.75" customHeight="1">
      <c r="A40" s="82" t="s">
        <v>333</v>
      </c>
      <c r="B40" s="83" t="s">
        <v>334</v>
      </c>
      <c r="C40" s="53">
        <v>87986.0</v>
      </c>
      <c r="D40" s="53">
        <v>65641.0</v>
      </c>
      <c r="E40" s="53">
        <v>63177.0</v>
      </c>
      <c r="F40" s="53">
        <v>59597.0</v>
      </c>
      <c r="G40" s="53">
        <v>59398.0</v>
      </c>
      <c r="H40" s="53">
        <v>52479.0</v>
      </c>
      <c r="I40" s="53">
        <v>33464.0</v>
      </c>
      <c r="J40" s="53">
        <v>32554.0</v>
      </c>
      <c r="K40" s="53">
        <v>30717.0</v>
      </c>
      <c r="L40" s="53">
        <v>33891.0</v>
      </c>
      <c r="M40" s="53">
        <v>44174.0</v>
      </c>
      <c r="N40" s="53">
        <v>44781.0</v>
      </c>
      <c r="O40" s="53">
        <v>29400.0</v>
      </c>
      <c r="P40" s="53">
        <v>160230.0</v>
      </c>
      <c r="Q40" s="53">
        <v>136737.0</v>
      </c>
      <c r="R40" s="53">
        <v>153839.0</v>
      </c>
      <c r="S40" s="53">
        <v>95853.0</v>
      </c>
      <c r="T40" s="53">
        <v>48706.0</v>
      </c>
      <c r="U40" s="53">
        <v>59865.0</v>
      </c>
      <c r="V40" s="53">
        <v>52700.0</v>
      </c>
      <c r="W40" s="53">
        <v>96737.0</v>
      </c>
      <c r="X40" s="53">
        <v>315309.0</v>
      </c>
      <c r="Y40" s="53">
        <v>377285.0</v>
      </c>
      <c r="Z40" s="53">
        <v>421803.0</v>
      </c>
      <c r="AA40" s="53">
        <v>496198.0</v>
      </c>
      <c r="AB40" s="53">
        <v>238083.0</v>
      </c>
      <c r="AC40" s="53">
        <v>244932.0</v>
      </c>
      <c r="AD40" s="53">
        <v>115659.0</v>
      </c>
      <c r="AE40" s="53">
        <v>46348.0</v>
      </c>
      <c r="AF40" s="53">
        <v>43462.0</v>
      </c>
      <c r="AG40" s="53">
        <v>73859.0</v>
      </c>
      <c r="AH40" s="41"/>
      <c r="AI40" s="41"/>
    </row>
    <row r="41" ht="12.75" customHeight="1">
      <c r="A41" s="82" t="s">
        <v>335</v>
      </c>
      <c r="B41" s="83" t="s">
        <v>336</v>
      </c>
      <c r="C41" s="53">
        <v>15972.0</v>
      </c>
      <c r="D41" s="53">
        <v>613.0</v>
      </c>
      <c r="E41" s="53">
        <v>31285.0</v>
      </c>
      <c r="F41" s="53">
        <v>13902.0</v>
      </c>
      <c r="G41" s="53">
        <v>12293.0</v>
      </c>
      <c r="H41" s="53">
        <v>768.0</v>
      </c>
      <c r="I41" s="53">
        <v>32828.0</v>
      </c>
      <c r="J41" s="53">
        <v>44579.0</v>
      </c>
      <c r="K41" s="53">
        <v>39705.0</v>
      </c>
      <c r="L41" s="53">
        <v>870.0</v>
      </c>
      <c r="M41" s="53">
        <v>36075.0</v>
      </c>
      <c r="N41" s="53">
        <v>57687.0</v>
      </c>
      <c r="O41" s="53">
        <v>51250.0</v>
      </c>
      <c r="P41" s="53">
        <v>1040.0</v>
      </c>
      <c r="Q41" s="53">
        <v>46388.0</v>
      </c>
      <c r="R41" s="53">
        <v>80153.0</v>
      </c>
      <c r="S41" s="53">
        <v>70895.0</v>
      </c>
      <c r="T41" s="53">
        <v>1191.0</v>
      </c>
      <c r="U41" s="53">
        <v>1270.0</v>
      </c>
      <c r="V41" s="53">
        <v>130363.0</v>
      </c>
      <c r="W41" s="53">
        <v>3316.0</v>
      </c>
      <c r="X41" s="53">
        <v>1432.0</v>
      </c>
      <c r="Y41" s="53">
        <v>1628.0</v>
      </c>
      <c r="Z41" s="53">
        <v>1781.0</v>
      </c>
      <c r="AA41" s="53">
        <v>1781.0</v>
      </c>
      <c r="AB41" s="53">
        <v>1781.0</v>
      </c>
      <c r="AC41" s="53">
        <v>1055.0</v>
      </c>
      <c r="AD41" s="53">
        <v>1222.0</v>
      </c>
      <c r="AE41" s="53">
        <v>83248.0</v>
      </c>
      <c r="AF41" s="53">
        <v>89324.0</v>
      </c>
      <c r="AG41" s="53">
        <v>89576.0</v>
      </c>
      <c r="AH41" s="41"/>
      <c r="AI41" s="41"/>
    </row>
    <row r="42" ht="12.75" customHeight="1">
      <c r="A42" s="82" t="s">
        <v>337</v>
      </c>
      <c r="B42" s="83" t="s">
        <v>338</v>
      </c>
      <c r="C42" s="53">
        <v>6072.0</v>
      </c>
      <c r="D42" s="53">
        <v>3923.0</v>
      </c>
      <c r="E42" s="53">
        <v>7328.0</v>
      </c>
      <c r="F42" s="53">
        <v>13227.0</v>
      </c>
      <c r="G42" s="53">
        <v>6778.0</v>
      </c>
      <c r="H42" s="53">
        <v>8800.0</v>
      </c>
      <c r="I42" s="53">
        <v>10485.0</v>
      </c>
      <c r="J42" s="53">
        <v>11292.0</v>
      </c>
      <c r="K42" s="53">
        <v>14546.0</v>
      </c>
      <c r="L42" s="53">
        <v>11927.0</v>
      </c>
      <c r="M42" s="53">
        <v>9836.0</v>
      </c>
      <c r="N42" s="53">
        <v>11592.0</v>
      </c>
      <c r="O42" s="53">
        <v>9263.0</v>
      </c>
      <c r="P42" s="53">
        <v>66689.0</v>
      </c>
      <c r="Q42" s="53">
        <v>83067.0</v>
      </c>
      <c r="R42" s="53">
        <v>86981.0</v>
      </c>
      <c r="S42" s="53">
        <v>96838.0</v>
      </c>
      <c r="T42" s="53">
        <v>114450.0</v>
      </c>
      <c r="U42" s="53">
        <v>127262.0</v>
      </c>
      <c r="V42" s="53">
        <v>66657.0</v>
      </c>
      <c r="W42" s="53">
        <v>80644.0</v>
      </c>
      <c r="X42" s="53">
        <v>86703.0</v>
      </c>
      <c r="Y42" s="53">
        <v>97882.0</v>
      </c>
      <c r="Z42" s="53">
        <v>77973.0</v>
      </c>
      <c r="AA42" s="53">
        <v>100887.0</v>
      </c>
      <c r="AB42" s="53">
        <v>88291.0</v>
      </c>
      <c r="AC42" s="53">
        <v>110038.0</v>
      </c>
      <c r="AD42" s="53">
        <v>63950.0</v>
      </c>
      <c r="AE42" s="53">
        <v>68302.0</v>
      </c>
      <c r="AF42" s="53">
        <v>77558.0</v>
      </c>
      <c r="AG42" s="53">
        <v>96720.0</v>
      </c>
      <c r="AH42" s="41"/>
      <c r="AI42" s="41"/>
    </row>
    <row r="43" ht="12.75" customHeight="1">
      <c r="A43" s="82" t="s">
        <v>339</v>
      </c>
      <c r="B43" s="83" t="s">
        <v>340</v>
      </c>
      <c r="C43" s="53">
        <v>0.0</v>
      </c>
      <c r="D43" s="53">
        <v>0.0</v>
      </c>
      <c r="E43" s="53">
        <v>0.0</v>
      </c>
      <c r="F43" s="53">
        <v>0.0</v>
      </c>
      <c r="G43" s="53">
        <v>0.0</v>
      </c>
      <c r="H43" s="53">
        <v>0.0</v>
      </c>
      <c r="I43" s="53">
        <v>0.0</v>
      </c>
      <c r="J43" s="53">
        <v>0.0</v>
      </c>
      <c r="K43" s="53">
        <v>0.0</v>
      </c>
      <c r="L43" s="53">
        <v>160843.0</v>
      </c>
      <c r="M43" s="53">
        <v>288733.0</v>
      </c>
      <c r="N43" s="53">
        <v>328817.0</v>
      </c>
      <c r="O43" s="53">
        <v>0.0</v>
      </c>
      <c r="P43" s="53">
        <v>0.0</v>
      </c>
      <c r="Q43" s="53">
        <v>0.0</v>
      </c>
      <c r="R43" s="53">
        <v>0.0</v>
      </c>
      <c r="S43" s="53">
        <v>0.0</v>
      </c>
      <c r="T43" s="53">
        <v>0.0</v>
      </c>
      <c r="U43" s="53">
        <v>0.0</v>
      </c>
      <c r="V43" s="53">
        <v>0.0</v>
      </c>
      <c r="W43" s="53">
        <v>0.0</v>
      </c>
      <c r="X43" s="53">
        <v>0.0</v>
      </c>
      <c r="Y43" s="53">
        <v>0.0</v>
      </c>
      <c r="Z43" s="53">
        <v>0.0</v>
      </c>
      <c r="AA43" s="53">
        <v>0.0</v>
      </c>
      <c r="AB43" s="53">
        <v>0.0</v>
      </c>
      <c r="AC43" s="53">
        <v>0.0</v>
      </c>
      <c r="AD43" s="53">
        <v>0.0</v>
      </c>
      <c r="AE43" s="53">
        <v>0.0</v>
      </c>
      <c r="AF43" s="53">
        <v>0.0</v>
      </c>
      <c r="AG43" s="53">
        <v>0.0</v>
      </c>
      <c r="AH43" s="41"/>
      <c r="AI43" s="41"/>
    </row>
    <row r="44" ht="12.75" customHeight="1">
      <c r="A44" s="82" t="s">
        <v>341</v>
      </c>
      <c r="B44" s="83" t="s">
        <v>342</v>
      </c>
      <c r="C44" s="53">
        <v>0.0</v>
      </c>
      <c r="D44" s="53">
        <v>0.0</v>
      </c>
      <c r="E44" s="53">
        <v>0.0</v>
      </c>
      <c r="F44" s="53">
        <v>0.0</v>
      </c>
      <c r="G44" s="53">
        <v>42209.0</v>
      </c>
      <c r="H44" s="53">
        <v>43563.0</v>
      </c>
      <c r="I44" s="53">
        <v>45740.0</v>
      </c>
      <c r="J44" s="53">
        <v>0.0</v>
      </c>
      <c r="K44" s="53">
        <v>0.0</v>
      </c>
      <c r="L44" s="53">
        <v>0.0</v>
      </c>
      <c r="M44" s="53">
        <v>0.0</v>
      </c>
      <c r="N44" s="53">
        <v>0.0</v>
      </c>
      <c r="O44" s="53">
        <v>1646270.0</v>
      </c>
      <c r="P44" s="53">
        <v>1893378.0</v>
      </c>
      <c r="Q44" s="53">
        <v>2217587.0</v>
      </c>
      <c r="R44" s="53">
        <v>2054172.0</v>
      </c>
      <c r="S44" s="53">
        <v>2027434.0</v>
      </c>
      <c r="T44" s="53">
        <v>2180375.0</v>
      </c>
      <c r="U44" s="53">
        <v>2335779.0</v>
      </c>
      <c r="V44" s="53">
        <v>2363599.0</v>
      </c>
      <c r="W44" s="53">
        <v>2135385.0</v>
      </c>
      <c r="X44" s="53">
        <v>2459248.0</v>
      </c>
      <c r="Y44" s="53">
        <v>0.0</v>
      </c>
      <c r="Z44" s="53">
        <v>0.0</v>
      </c>
      <c r="AA44" s="53">
        <v>0.0</v>
      </c>
      <c r="AB44" s="53">
        <v>0.0</v>
      </c>
      <c r="AC44" s="53">
        <v>0.0</v>
      </c>
      <c r="AD44" s="53">
        <v>0.0</v>
      </c>
      <c r="AE44" s="53">
        <v>9645.0</v>
      </c>
      <c r="AF44" s="53">
        <v>9846.0</v>
      </c>
      <c r="AG44" s="53">
        <v>9823.0</v>
      </c>
      <c r="AH44" s="41"/>
      <c r="AI44" s="41"/>
    </row>
    <row r="45" ht="12.75" customHeight="1">
      <c r="A45" s="82"/>
      <c r="B45" s="83"/>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41"/>
      <c r="AI45" s="41"/>
    </row>
    <row r="46" ht="12.75" customHeight="1">
      <c r="A46" s="79" t="s">
        <v>296</v>
      </c>
      <c r="B46" s="80" t="s">
        <v>343</v>
      </c>
      <c r="C46" s="81">
        <f t="shared" ref="C46:AG46" si="7">SUM(C47:C56)</f>
        <v>546169</v>
      </c>
      <c r="D46" s="81">
        <f t="shared" si="7"/>
        <v>528198</v>
      </c>
      <c r="E46" s="81">
        <f t="shared" si="7"/>
        <v>414645</v>
      </c>
      <c r="F46" s="81">
        <f t="shared" si="7"/>
        <v>393445</v>
      </c>
      <c r="G46" s="81">
        <f t="shared" si="7"/>
        <v>572130</v>
      </c>
      <c r="H46" s="81">
        <f t="shared" si="7"/>
        <v>565358</v>
      </c>
      <c r="I46" s="81">
        <f t="shared" si="7"/>
        <v>362831</v>
      </c>
      <c r="J46" s="81">
        <f t="shared" si="7"/>
        <v>351966</v>
      </c>
      <c r="K46" s="81">
        <f t="shared" si="7"/>
        <v>379409</v>
      </c>
      <c r="L46" s="81">
        <f t="shared" si="7"/>
        <v>525983</v>
      </c>
      <c r="M46" s="81">
        <f t="shared" si="7"/>
        <v>523716</v>
      </c>
      <c r="N46" s="81">
        <f t="shared" si="7"/>
        <v>502209</v>
      </c>
      <c r="O46" s="81">
        <f t="shared" si="7"/>
        <v>539286</v>
      </c>
      <c r="P46" s="81">
        <f t="shared" si="7"/>
        <v>2153386</v>
      </c>
      <c r="Q46" s="81">
        <f t="shared" si="7"/>
        <v>2151317</v>
      </c>
      <c r="R46" s="81">
        <f t="shared" si="7"/>
        <v>2135238</v>
      </c>
      <c r="S46" s="81">
        <f t="shared" si="7"/>
        <v>2216245</v>
      </c>
      <c r="T46" s="81">
        <f t="shared" si="7"/>
        <v>2094128</v>
      </c>
      <c r="U46" s="81">
        <f t="shared" si="7"/>
        <v>2681787</v>
      </c>
      <c r="V46" s="81">
        <f t="shared" si="7"/>
        <v>2694978</v>
      </c>
      <c r="W46" s="81">
        <f t="shared" si="7"/>
        <v>2663997</v>
      </c>
      <c r="X46" s="81">
        <f t="shared" si="7"/>
        <v>2479740</v>
      </c>
      <c r="Y46" s="81">
        <f t="shared" si="7"/>
        <v>2446452</v>
      </c>
      <c r="Z46" s="81">
        <f t="shared" si="7"/>
        <v>2467460</v>
      </c>
      <c r="AA46" s="81">
        <f t="shared" si="7"/>
        <v>2514899</v>
      </c>
      <c r="AB46" s="81">
        <f t="shared" si="7"/>
        <v>2434539</v>
      </c>
      <c r="AC46" s="81">
        <f t="shared" si="7"/>
        <v>2418254</v>
      </c>
      <c r="AD46" s="81">
        <f t="shared" si="7"/>
        <v>2400403</v>
      </c>
      <c r="AE46" s="81">
        <f t="shared" si="7"/>
        <v>2415702</v>
      </c>
      <c r="AF46" s="81">
        <f t="shared" si="7"/>
        <v>2403981</v>
      </c>
      <c r="AG46" s="81">
        <f t="shared" si="7"/>
        <v>2473094</v>
      </c>
      <c r="AH46" s="41"/>
      <c r="AI46" s="41"/>
    </row>
    <row r="47" ht="12.75" customHeight="1">
      <c r="A47" s="82" t="s">
        <v>323</v>
      </c>
      <c r="B47" s="83" t="s">
        <v>324</v>
      </c>
      <c r="C47" s="53">
        <v>113352.0</v>
      </c>
      <c r="D47" s="53">
        <v>68127.0</v>
      </c>
      <c r="E47" s="53">
        <v>23079.0</v>
      </c>
      <c r="F47" s="53">
        <v>6356.0</v>
      </c>
      <c r="G47" s="53">
        <v>3694.0</v>
      </c>
      <c r="H47" s="53">
        <v>987.0</v>
      </c>
      <c r="I47" s="53">
        <v>0.0</v>
      </c>
      <c r="J47" s="53">
        <v>0.0</v>
      </c>
      <c r="K47" s="53">
        <v>0.0</v>
      </c>
      <c r="L47" s="53">
        <v>0.0</v>
      </c>
      <c r="M47" s="53">
        <v>0.0</v>
      </c>
      <c r="N47" s="53">
        <v>0.0</v>
      </c>
      <c r="O47" s="53">
        <v>0.0</v>
      </c>
      <c r="P47" s="53">
        <v>0.0</v>
      </c>
      <c r="Q47" s="53">
        <v>0.0</v>
      </c>
      <c r="R47" s="53">
        <v>0.0</v>
      </c>
      <c r="S47" s="53">
        <v>0.0</v>
      </c>
      <c r="T47" s="53">
        <v>0.0</v>
      </c>
      <c r="U47" s="53">
        <v>715.0</v>
      </c>
      <c r="V47" s="53">
        <v>405.0</v>
      </c>
      <c r="W47" s="53">
        <v>0.0</v>
      </c>
      <c r="X47" s="53">
        <v>0.0</v>
      </c>
      <c r="Y47" s="53">
        <v>0.0</v>
      </c>
      <c r="Z47" s="53">
        <v>0.0</v>
      </c>
      <c r="AA47" s="53">
        <v>2915.0</v>
      </c>
      <c r="AB47" s="53">
        <v>0.0</v>
      </c>
      <c r="AC47" s="53">
        <v>0.0</v>
      </c>
      <c r="AD47" s="53">
        <v>0.0</v>
      </c>
      <c r="AE47" s="53">
        <v>0.0</v>
      </c>
      <c r="AF47" s="53">
        <v>0.0</v>
      </c>
      <c r="AG47" s="53">
        <v>0.0</v>
      </c>
      <c r="AH47" s="41"/>
      <c r="AI47" s="41"/>
    </row>
    <row r="48" ht="12.75" customHeight="1">
      <c r="A48" s="82" t="s">
        <v>325</v>
      </c>
      <c r="B48" s="83" t="s">
        <v>326</v>
      </c>
      <c r="C48" s="53">
        <v>38677.0</v>
      </c>
      <c r="D48" s="53">
        <v>37751.0</v>
      </c>
      <c r="E48" s="53">
        <v>33281.0</v>
      </c>
      <c r="F48" s="53">
        <v>28961.0</v>
      </c>
      <c r="G48" s="53">
        <v>202150.0</v>
      </c>
      <c r="H48" s="53">
        <v>195660.0</v>
      </c>
      <c r="I48" s="53">
        <v>195314.0</v>
      </c>
      <c r="J48" s="53">
        <v>192080.0</v>
      </c>
      <c r="K48" s="53">
        <v>195765.0</v>
      </c>
      <c r="L48" s="53">
        <v>189739.0</v>
      </c>
      <c r="M48" s="53">
        <v>185431.0</v>
      </c>
      <c r="N48" s="53">
        <v>178244.0</v>
      </c>
      <c r="O48" s="53">
        <v>203333.0</v>
      </c>
      <c r="P48" s="53">
        <v>190735.0</v>
      </c>
      <c r="Q48" s="53">
        <v>184993.0</v>
      </c>
      <c r="R48" s="53">
        <v>176584.0</v>
      </c>
      <c r="S48" s="53">
        <v>183819.0</v>
      </c>
      <c r="T48" s="53">
        <v>177793.0</v>
      </c>
      <c r="U48" s="53">
        <v>167416.0</v>
      </c>
      <c r="V48" s="53">
        <v>154673.0</v>
      </c>
      <c r="W48" s="53">
        <v>139660.0</v>
      </c>
      <c r="X48" s="53">
        <v>135510.0</v>
      </c>
      <c r="Y48" s="53">
        <v>120379.0</v>
      </c>
      <c r="Z48" s="53">
        <v>106663.0</v>
      </c>
      <c r="AA48" s="53">
        <v>93200.0</v>
      </c>
      <c r="AB48" s="53">
        <v>77272.0</v>
      </c>
      <c r="AC48" s="53">
        <v>78177.0</v>
      </c>
      <c r="AD48" s="53">
        <v>68285.0</v>
      </c>
      <c r="AE48" s="53">
        <v>62333.0</v>
      </c>
      <c r="AF48" s="53">
        <v>62485.0</v>
      </c>
      <c r="AG48" s="53">
        <v>92375.0</v>
      </c>
      <c r="AH48" s="41"/>
      <c r="AI48" s="41"/>
    </row>
    <row r="49" ht="12.75" customHeight="1">
      <c r="A49" s="82" t="s">
        <v>327</v>
      </c>
      <c r="B49" s="83" t="s">
        <v>328</v>
      </c>
      <c r="C49" s="53">
        <v>267305.0</v>
      </c>
      <c r="D49" s="53">
        <v>269165.0</v>
      </c>
      <c r="E49" s="53">
        <v>199825.0</v>
      </c>
      <c r="F49" s="53">
        <v>199869.0</v>
      </c>
      <c r="G49" s="53">
        <v>199913.0</v>
      </c>
      <c r="H49" s="53">
        <v>199956.0</v>
      </c>
      <c r="I49" s="53">
        <v>0.0</v>
      </c>
      <c r="J49" s="53">
        <v>0.0</v>
      </c>
      <c r="K49" s="53">
        <v>0.0</v>
      </c>
      <c r="L49" s="53">
        <v>0.0</v>
      </c>
      <c r="M49" s="53">
        <v>0.0</v>
      </c>
      <c r="N49" s="53">
        <v>0.0</v>
      </c>
      <c r="O49" s="53">
        <v>0.0</v>
      </c>
      <c r="P49" s="53">
        <v>1494684.0</v>
      </c>
      <c r="Q49" s="53">
        <v>1496834.0</v>
      </c>
      <c r="R49" s="53">
        <v>1123138.0</v>
      </c>
      <c r="S49" s="53">
        <v>1123572.0</v>
      </c>
      <c r="T49" s="53">
        <v>999013.0</v>
      </c>
      <c r="U49" s="53">
        <v>1487693.0</v>
      </c>
      <c r="V49" s="53">
        <v>1488308.0</v>
      </c>
      <c r="W49" s="53">
        <v>1489073.0</v>
      </c>
      <c r="X49" s="53">
        <v>1489864.0</v>
      </c>
      <c r="Y49" s="53">
        <v>1490692.0</v>
      </c>
      <c r="Z49" s="53">
        <v>1491495.0</v>
      </c>
      <c r="AA49" s="53">
        <v>1492260.0</v>
      </c>
      <c r="AB49" s="53">
        <v>1493025.0</v>
      </c>
      <c r="AC49" s="53">
        <v>1470990.0</v>
      </c>
      <c r="AD49" s="53">
        <v>1472286.0</v>
      </c>
      <c r="AE49" s="53">
        <v>1473502.0</v>
      </c>
      <c r="AF49" s="53">
        <v>1474718.0</v>
      </c>
      <c r="AG49" s="53">
        <v>1476014.0</v>
      </c>
      <c r="AH49" s="41"/>
      <c r="AI49" s="41"/>
    </row>
    <row r="50" ht="12.75" customHeight="1">
      <c r="A50" s="82" t="s">
        <v>344</v>
      </c>
      <c r="B50" s="83" t="s">
        <v>345</v>
      </c>
      <c r="C50" s="53">
        <v>0.0</v>
      </c>
      <c r="D50" s="53">
        <v>0.0</v>
      </c>
      <c r="E50" s="53">
        <v>0.0</v>
      </c>
      <c r="F50" s="53">
        <v>0.0</v>
      </c>
      <c r="G50" s="53">
        <v>0.0</v>
      </c>
      <c r="H50" s="53">
        <v>0.0</v>
      </c>
      <c r="I50" s="53">
        <v>0.0</v>
      </c>
      <c r="J50" s="53">
        <v>0.0</v>
      </c>
      <c r="K50" s="53">
        <v>0.0</v>
      </c>
      <c r="L50" s="53">
        <v>0.0</v>
      </c>
      <c r="M50" s="53">
        <v>0.0</v>
      </c>
      <c r="N50" s="53">
        <v>0.0</v>
      </c>
      <c r="O50" s="53">
        <v>0.0</v>
      </c>
      <c r="P50" s="53">
        <v>0.0</v>
      </c>
      <c r="Q50" s="53">
        <v>0.0</v>
      </c>
      <c r="R50" s="53">
        <v>0.0</v>
      </c>
      <c r="S50" s="53">
        <v>0.0</v>
      </c>
      <c r="T50" s="53">
        <v>0.0</v>
      </c>
      <c r="U50" s="53">
        <v>0.0</v>
      </c>
      <c r="V50" s="53">
        <v>0.0</v>
      </c>
      <c r="W50" s="53">
        <v>0.0</v>
      </c>
      <c r="X50" s="53">
        <v>0.0</v>
      </c>
      <c r="Y50" s="53">
        <v>0.0</v>
      </c>
      <c r="Z50" s="53">
        <v>0.0</v>
      </c>
      <c r="AA50" s="53">
        <v>0.0</v>
      </c>
      <c r="AB50" s="53">
        <v>0.0</v>
      </c>
      <c r="AC50" s="53">
        <v>0.0</v>
      </c>
      <c r="AD50" s="53">
        <v>0.0</v>
      </c>
      <c r="AE50" s="53">
        <v>0.0</v>
      </c>
      <c r="AF50" s="53">
        <v>0.0</v>
      </c>
      <c r="AG50" s="53">
        <v>0.0</v>
      </c>
      <c r="AH50" s="41"/>
      <c r="AI50" s="41"/>
    </row>
    <row r="51" ht="12.75" customHeight="1">
      <c r="A51" s="82" t="s">
        <v>130</v>
      </c>
      <c r="B51" s="83" t="s">
        <v>131</v>
      </c>
      <c r="C51" s="53">
        <v>120642.0</v>
      </c>
      <c r="D51" s="53">
        <v>127000.0</v>
      </c>
      <c r="E51" s="53">
        <v>124184.0</v>
      </c>
      <c r="F51" s="53">
        <v>127792.0</v>
      </c>
      <c r="G51" s="53">
        <v>133786.0</v>
      </c>
      <c r="H51" s="53">
        <v>133864.0</v>
      </c>
      <c r="I51" s="53">
        <v>136247.0</v>
      </c>
      <c r="J51" s="53">
        <v>131521.0</v>
      </c>
      <c r="K51" s="53">
        <v>129455.0</v>
      </c>
      <c r="L51" s="53">
        <v>135792.0</v>
      </c>
      <c r="M51" s="53">
        <v>134252.0</v>
      </c>
      <c r="N51" s="53">
        <v>125818.0</v>
      </c>
      <c r="O51" s="53">
        <v>135207.0</v>
      </c>
      <c r="P51" s="53">
        <v>125276.0</v>
      </c>
      <c r="Q51" s="53">
        <v>127625.0</v>
      </c>
      <c r="R51" s="53">
        <v>106939.0</v>
      </c>
      <c r="S51" s="53">
        <v>113748.0</v>
      </c>
      <c r="T51" s="53">
        <v>109184.0</v>
      </c>
      <c r="U51" s="53">
        <v>108786.0</v>
      </c>
      <c r="V51" s="53">
        <v>107491.0</v>
      </c>
      <c r="W51" s="53">
        <v>106350.0</v>
      </c>
      <c r="X51" s="53">
        <v>112691.0</v>
      </c>
      <c r="Y51" s="53">
        <v>115007.0</v>
      </c>
      <c r="Z51" s="53">
        <v>111990.0</v>
      </c>
      <c r="AA51" s="53">
        <v>108709.0</v>
      </c>
      <c r="AB51" s="53">
        <v>112605.0</v>
      </c>
      <c r="AC51" s="53">
        <v>100911.0</v>
      </c>
      <c r="AD51" s="53">
        <v>106272.0</v>
      </c>
      <c r="AE51" s="53">
        <v>111253.0</v>
      </c>
      <c r="AF51" s="53">
        <v>100768.0</v>
      </c>
      <c r="AG51" s="53">
        <v>108111.0</v>
      </c>
      <c r="AH51" s="41"/>
      <c r="AI51" s="41"/>
    </row>
    <row r="52" ht="12.75" customHeight="1">
      <c r="A52" s="82" t="s">
        <v>333</v>
      </c>
      <c r="B52" s="83" t="s">
        <v>334</v>
      </c>
      <c r="C52" s="53">
        <v>0.0</v>
      </c>
      <c r="D52" s="53">
        <v>12269.0</v>
      </c>
      <c r="E52" s="53">
        <v>18841.0</v>
      </c>
      <c r="F52" s="53">
        <v>15464.0</v>
      </c>
      <c r="G52" s="53">
        <v>14592.0</v>
      </c>
      <c r="H52" s="53">
        <v>15972.0</v>
      </c>
      <c r="I52" s="53">
        <v>14824.0</v>
      </c>
      <c r="J52" s="53">
        <v>10758.0</v>
      </c>
      <c r="K52" s="53">
        <v>32699.0</v>
      </c>
      <c r="L52" s="53">
        <v>173230.0</v>
      </c>
      <c r="M52" s="53">
        <v>170838.0</v>
      </c>
      <c r="N52" s="53">
        <v>163419.0</v>
      </c>
      <c r="O52" s="53">
        <v>157653.0</v>
      </c>
      <c r="P52" s="53">
        <v>269699.0</v>
      </c>
      <c r="Q52" s="53">
        <v>303777.0</v>
      </c>
      <c r="R52" s="53">
        <v>311575.0</v>
      </c>
      <c r="S52" s="53">
        <v>365343.0</v>
      </c>
      <c r="T52" s="53">
        <v>376159.0</v>
      </c>
      <c r="U52" s="53">
        <v>472709.0</v>
      </c>
      <c r="V52" s="53">
        <v>511519.0</v>
      </c>
      <c r="W52" s="53">
        <v>486183.0</v>
      </c>
      <c r="X52" s="53">
        <v>299133.0</v>
      </c>
      <c r="Y52" s="53">
        <v>265462.0</v>
      </c>
      <c r="Z52" s="53">
        <v>272135.0</v>
      </c>
      <c r="AA52" s="53">
        <v>318700.0</v>
      </c>
      <c r="AB52" s="53">
        <v>252444.0</v>
      </c>
      <c r="AC52" s="53">
        <v>254973.0</v>
      </c>
      <c r="AD52" s="53">
        <v>228249.0</v>
      </c>
      <c r="AE52" s="53">
        <v>226189.0</v>
      </c>
      <c r="AF52" s="53">
        <v>218689.0</v>
      </c>
      <c r="AG52" s="53">
        <v>242723.0</v>
      </c>
      <c r="AH52" s="41"/>
      <c r="AI52" s="41"/>
    </row>
    <row r="53" ht="12.75" customHeight="1">
      <c r="A53" s="82" t="s">
        <v>300</v>
      </c>
      <c r="B53" s="83" t="s">
        <v>346</v>
      </c>
      <c r="C53" s="53">
        <v>0.0</v>
      </c>
      <c r="D53" s="53">
        <v>0.0</v>
      </c>
      <c r="E53" s="53">
        <v>0.0</v>
      </c>
      <c r="F53" s="53">
        <v>0.0</v>
      </c>
      <c r="G53" s="53">
        <v>0.0</v>
      </c>
      <c r="H53" s="53">
        <v>0.0</v>
      </c>
      <c r="I53" s="53">
        <v>0.0</v>
      </c>
      <c r="J53" s="53">
        <v>0.0</v>
      </c>
      <c r="K53" s="53">
        <v>0.0</v>
      </c>
      <c r="L53" s="53">
        <v>0.0</v>
      </c>
      <c r="M53" s="53">
        <v>3741.0</v>
      </c>
      <c r="N53" s="53">
        <v>289.0</v>
      </c>
      <c r="O53" s="53">
        <v>2004.0</v>
      </c>
      <c r="P53" s="53">
        <v>2349.0</v>
      </c>
      <c r="Q53" s="53">
        <v>3655.0</v>
      </c>
      <c r="R53" s="53">
        <v>0.0</v>
      </c>
      <c r="S53" s="53">
        <v>1317.0</v>
      </c>
      <c r="T53" s="53">
        <v>2545.0</v>
      </c>
      <c r="U53" s="53">
        <v>5364.0</v>
      </c>
      <c r="V53" s="53">
        <v>623.0</v>
      </c>
      <c r="W53" s="53">
        <v>805.0</v>
      </c>
      <c r="X53" s="53">
        <v>1742.0</v>
      </c>
      <c r="Y53" s="53">
        <v>5732.0</v>
      </c>
      <c r="Z53" s="53">
        <v>8647.0</v>
      </c>
      <c r="AA53" s="53">
        <v>11637.0</v>
      </c>
      <c r="AB53" s="53">
        <v>14235.0</v>
      </c>
      <c r="AC53" s="53">
        <v>15616.0</v>
      </c>
      <c r="AD53" s="53">
        <v>13740.0</v>
      </c>
      <c r="AE53" s="53">
        <v>15874.0</v>
      </c>
      <c r="AF53" s="53">
        <v>20154.0</v>
      </c>
      <c r="AG53" s="53">
        <v>27086.0</v>
      </c>
      <c r="AH53" s="41"/>
      <c r="AI53" s="41"/>
    </row>
    <row r="54" ht="12.75" customHeight="1">
      <c r="A54" s="82" t="s">
        <v>347</v>
      </c>
      <c r="B54" s="83" t="s">
        <v>348</v>
      </c>
      <c r="C54" s="53">
        <v>0.0</v>
      </c>
      <c r="D54" s="53">
        <v>0.0</v>
      </c>
      <c r="E54" s="53">
        <v>0.0</v>
      </c>
      <c r="F54" s="53">
        <v>0.0</v>
      </c>
      <c r="G54" s="53">
        <v>0.0</v>
      </c>
      <c r="H54" s="53">
        <v>0.0</v>
      </c>
      <c r="I54" s="53">
        <v>0.0</v>
      </c>
      <c r="J54" s="53">
        <v>0.0</v>
      </c>
      <c r="K54" s="53">
        <v>0.0</v>
      </c>
      <c r="L54" s="53">
        <v>4728.0</v>
      </c>
      <c r="M54" s="53">
        <v>3998.0</v>
      </c>
      <c r="N54" s="53">
        <v>3977.0</v>
      </c>
      <c r="O54" s="53">
        <v>3672.0</v>
      </c>
      <c r="P54" s="53">
        <v>3385.0</v>
      </c>
      <c r="Q54" s="53">
        <v>3087.0</v>
      </c>
      <c r="R54" s="53">
        <v>2677.0</v>
      </c>
      <c r="S54" s="53">
        <v>2386.0</v>
      </c>
      <c r="T54" s="53">
        <v>2117.0</v>
      </c>
      <c r="U54" s="53">
        <v>2379.0</v>
      </c>
      <c r="V54" s="53">
        <v>1381.0</v>
      </c>
      <c r="W54" s="53">
        <v>849.0</v>
      </c>
      <c r="X54" s="53">
        <v>498.0</v>
      </c>
      <c r="Y54" s="53">
        <v>216.0</v>
      </c>
      <c r="Z54" s="53">
        <v>42.0</v>
      </c>
      <c r="AA54" s="53">
        <v>1023.0</v>
      </c>
      <c r="AB54" s="53">
        <v>558.0</v>
      </c>
      <c r="AC54" s="53">
        <v>39.0</v>
      </c>
      <c r="AD54" s="53">
        <v>38.0</v>
      </c>
      <c r="AE54" s="53">
        <v>0.0</v>
      </c>
      <c r="AF54" s="53">
        <v>0.0</v>
      </c>
      <c r="AG54" s="53">
        <v>0.0</v>
      </c>
      <c r="AH54" s="41"/>
      <c r="AI54" s="41"/>
    </row>
    <row r="55" ht="12.75" customHeight="1">
      <c r="A55" s="82" t="s">
        <v>349</v>
      </c>
      <c r="B55" s="83" t="s">
        <v>350</v>
      </c>
      <c r="C55" s="53">
        <v>0.0</v>
      </c>
      <c r="D55" s="53">
        <v>0.0</v>
      </c>
      <c r="E55" s="53">
        <v>0.0</v>
      </c>
      <c r="F55" s="53">
        <v>0.0</v>
      </c>
      <c r="G55" s="53">
        <v>0.0</v>
      </c>
      <c r="H55" s="53">
        <v>0.0</v>
      </c>
      <c r="I55" s="53">
        <v>0.0</v>
      </c>
      <c r="J55" s="53">
        <v>0.0</v>
      </c>
      <c r="K55" s="53">
        <v>0.0</v>
      </c>
      <c r="L55" s="53">
        <v>0.0</v>
      </c>
      <c r="M55" s="53">
        <v>0.0</v>
      </c>
      <c r="N55" s="53">
        <v>0.0</v>
      </c>
      <c r="O55" s="53">
        <v>0.0</v>
      </c>
      <c r="P55" s="53">
        <v>0.0</v>
      </c>
      <c r="Q55" s="53">
        <v>0.0</v>
      </c>
      <c r="R55" s="53">
        <v>366194.0</v>
      </c>
      <c r="S55" s="53">
        <v>373524.0</v>
      </c>
      <c r="T55" s="53">
        <v>381001.0</v>
      </c>
      <c r="U55" s="53">
        <v>388627.0</v>
      </c>
      <c r="V55" s="53">
        <v>383004.0</v>
      </c>
      <c r="W55" s="53">
        <v>390444.0</v>
      </c>
      <c r="X55" s="53">
        <v>398029.0</v>
      </c>
      <c r="Y55" s="53">
        <v>404324.0</v>
      </c>
      <c r="Z55" s="53">
        <v>412655.0</v>
      </c>
      <c r="AA55" s="53">
        <v>421157.0</v>
      </c>
      <c r="AB55" s="53">
        <v>424554.0</v>
      </c>
      <c r="AC55" s="53">
        <v>435291.0</v>
      </c>
      <c r="AD55" s="53">
        <v>444771.0</v>
      </c>
      <c r="AE55" s="53">
        <v>454274.0</v>
      </c>
      <c r="AF55" s="53">
        <v>465558.0</v>
      </c>
      <c r="AG55" s="53">
        <v>472850.0</v>
      </c>
      <c r="AH55" s="84"/>
      <c r="AI55" s="84"/>
    </row>
    <row r="56" ht="12.75" customHeight="1">
      <c r="A56" s="82" t="s">
        <v>337</v>
      </c>
      <c r="B56" s="83" t="s">
        <v>338</v>
      </c>
      <c r="C56" s="53">
        <v>6193.0</v>
      </c>
      <c r="D56" s="53">
        <v>13886.0</v>
      </c>
      <c r="E56" s="53">
        <v>15435.0</v>
      </c>
      <c r="F56" s="53">
        <v>15003.0</v>
      </c>
      <c r="G56" s="53">
        <v>17995.0</v>
      </c>
      <c r="H56" s="53">
        <v>18919.0</v>
      </c>
      <c r="I56" s="53">
        <v>16446.0</v>
      </c>
      <c r="J56" s="53">
        <v>17607.0</v>
      </c>
      <c r="K56" s="53">
        <v>21490.0</v>
      </c>
      <c r="L56" s="53">
        <v>22494.0</v>
      </c>
      <c r="M56" s="53">
        <v>25456.0</v>
      </c>
      <c r="N56" s="53">
        <v>30462.0</v>
      </c>
      <c r="O56" s="53">
        <v>37417.0</v>
      </c>
      <c r="P56" s="53">
        <v>67258.0</v>
      </c>
      <c r="Q56" s="53">
        <v>31346.0</v>
      </c>
      <c r="R56" s="53">
        <v>48131.0</v>
      </c>
      <c r="S56" s="53">
        <v>52536.0</v>
      </c>
      <c r="T56" s="53">
        <v>46316.0</v>
      </c>
      <c r="U56" s="53">
        <v>48098.0</v>
      </c>
      <c r="V56" s="53">
        <v>47574.0</v>
      </c>
      <c r="W56" s="53">
        <v>50633.0</v>
      </c>
      <c r="X56" s="53">
        <v>42273.0</v>
      </c>
      <c r="Y56" s="53">
        <v>44640.0</v>
      </c>
      <c r="Z56" s="53">
        <v>63833.0</v>
      </c>
      <c r="AA56" s="53">
        <v>65298.0</v>
      </c>
      <c r="AB56" s="53">
        <v>59846.0</v>
      </c>
      <c r="AC56" s="53">
        <v>62257.0</v>
      </c>
      <c r="AD56" s="53">
        <v>66762.0</v>
      </c>
      <c r="AE56" s="53">
        <v>72277.0</v>
      </c>
      <c r="AF56" s="53">
        <v>61609.0</v>
      </c>
      <c r="AG56" s="53">
        <v>53935.0</v>
      </c>
      <c r="AH56" s="84"/>
      <c r="AI56" s="84"/>
    </row>
    <row r="57" ht="12.75" customHeight="1">
      <c r="A57" s="82"/>
      <c r="B57" s="83"/>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41"/>
      <c r="AI57" s="41"/>
    </row>
    <row r="58" ht="12.75" customHeight="1">
      <c r="A58" s="79" t="s">
        <v>351</v>
      </c>
      <c r="B58" s="80" t="s">
        <v>352</v>
      </c>
      <c r="C58" s="81">
        <f t="shared" ref="C58:AG58" si="8">SUM(C59:C65)</f>
        <v>1284829</v>
      </c>
      <c r="D58" s="81">
        <f t="shared" si="8"/>
        <v>1322257</v>
      </c>
      <c r="E58" s="81">
        <f t="shared" si="8"/>
        <v>1331011</v>
      </c>
      <c r="F58" s="81">
        <f t="shared" si="8"/>
        <v>1288220</v>
      </c>
      <c r="G58" s="81">
        <f t="shared" si="8"/>
        <v>1307010</v>
      </c>
      <c r="H58" s="81">
        <f t="shared" si="8"/>
        <v>2405720</v>
      </c>
      <c r="I58" s="81">
        <f t="shared" si="8"/>
        <v>2466904</v>
      </c>
      <c r="J58" s="81">
        <f t="shared" si="8"/>
        <v>2478409</v>
      </c>
      <c r="K58" s="81">
        <f t="shared" si="8"/>
        <v>2527054</v>
      </c>
      <c r="L58" s="81">
        <f t="shared" si="8"/>
        <v>2517411</v>
      </c>
      <c r="M58" s="81">
        <f t="shared" si="8"/>
        <v>2566016</v>
      </c>
      <c r="N58" s="81">
        <f t="shared" si="8"/>
        <v>2604166</v>
      </c>
      <c r="O58" s="81">
        <f t="shared" si="8"/>
        <v>2702688</v>
      </c>
      <c r="P58" s="81">
        <f t="shared" si="8"/>
        <v>2723213</v>
      </c>
      <c r="Q58" s="81">
        <f t="shared" si="8"/>
        <v>4187758</v>
      </c>
      <c r="R58" s="81">
        <f t="shared" si="8"/>
        <v>4486008</v>
      </c>
      <c r="S58" s="81">
        <f t="shared" si="8"/>
        <v>4566632</v>
      </c>
      <c r="T58" s="81">
        <f t="shared" si="8"/>
        <v>4596915</v>
      </c>
      <c r="U58" s="81">
        <f t="shared" si="8"/>
        <v>4713787</v>
      </c>
      <c r="V58" s="81">
        <f t="shared" si="8"/>
        <v>4584849</v>
      </c>
      <c r="W58" s="81">
        <f t="shared" si="8"/>
        <v>4587716</v>
      </c>
      <c r="X58" s="81">
        <f t="shared" si="8"/>
        <v>4687788</v>
      </c>
      <c r="Y58" s="81">
        <f t="shared" si="8"/>
        <v>5011563</v>
      </c>
      <c r="Z58" s="81">
        <f t="shared" si="8"/>
        <v>5012671</v>
      </c>
      <c r="AA58" s="81">
        <f t="shared" si="8"/>
        <v>5081660</v>
      </c>
      <c r="AB58" s="81">
        <f t="shared" si="8"/>
        <v>4988224</v>
      </c>
      <c r="AC58" s="81">
        <f t="shared" si="8"/>
        <v>5108107</v>
      </c>
      <c r="AD58" s="81">
        <f t="shared" si="8"/>
        <v>4987121</v>
      </c>
      <c r="AE58" s="81">
        <f t="shared" si="8"/>
        <v>5111498</v>
      </c>
      <c r="AF58" s="81">
        <f t="shared" si="8"/>
        <v>5215253</v>
      </c>
      <c r="AG58" s="81">
        <f t="shared" si="8"/>
        <v>5407082</v>
      </c>
      <c r="AH58" s="41"/>
      <c r="AI58" s="41"/>
    </row>
    <row r="59" ht="12.75" customHeight="1">
      <c r="A59" s="82" t="s">
        <v>353</v>
      </c>
      <c r="B59" s="83" t="s">
        <v>354</v>
      </c>
      <c r="C59" s="53">
        <v>989841.0</v>
      </c>
      <c r="D59" s="53">
        <v>1041229.0</v>
      </c>
      <c r="E59" s="53">
        <v>1041229.0</v>
      </c>
      <c r="F59" s="53">
        <v>1041229.0</v>
      </c>
      <c r="G59" s="53">
        <v>1041229.0</v>
      </c>
      <c r="H59" s="53">
        <v>1382509.0</v>
      </c>
      <c r="I59" s="53">
        <v>1382509.0</v>
      </c>
      <c r="J59" s="53">
        <v>1382509.0</v>
      </c>
      <c r="K59" s="53">
        <v>1382509.0</v>
      </c>
      <c r="L59" s="53">
        <v>1382509.0</v>
      </c>
      <c r="M59" s="53">
        <v>1382509.0</v>
      </c>
      <c r="N59" s="53">
        <v>1382509.0</v>
      </c>
      <c r="O59" s="53">
        <v>1382509.0</v>
      </c>
      <c r="P59" s="53">
        <v>1519412.0</v>
      </c>
      <c r="Q59" s="53">
        <v>2962585.0</v>
      </c>
      <c r="R59" s="53">
        <v>2962585.0</v>
      </c>
      <c r="S59" s="53">
        <v>2962585.0</v>
      </c>
      <c r="T59" s="53">
        <v>2962585.0</v>
      </c>
      <c r="U59" s="53">
        <v>2962585.0</v>
      </c>
      <c r="V59" s="53">
        <v>2962585.0</v>
      </c>
      <c r="W59" s="53">
        <v>2962585.0</v>
      </c>
      <c r="X59" s="53">
        <v>2962585.0</v>
      </c>
      <c r="Y59" s="53">
        <v>2962585.0</v>
      </c>
      <c r="Z59" s="53">
        <v>2962585.0</v>
      </c>
      <c r="AA59" s="53">
        <v>2962585.0</v>
      </c>
      <c r="AB59" s="53">
        <v>2962585.0</v>
      </c>
      <c r="AC59" s="53">
        <v>2962585.0</v>
      </c>
      <c r="AD59" s="53">
        <v>2962585.0</v>
      </c>
      <c r="AE59" s="53">
        <v>2962585.0</v>
      </c>
      <c r="AF59" s="53">
        <v>2962585.0</v>
      </c>
      <c r="AG59" s="53">
        <v>2962585.0</v>
      </c>
      <c r="AH59" s="41"/>
      <c r="AI59" s="41"/>
    </row>
    <row r="60" ht="12.75" customHeight="1">
      <c r="A60" s="82" t="s">
        <v>355</v>
      </c>
      <c r="B60" s="83" t="s">
        <v>356</v>
      </c>
      <c r="C60" s="53">
        <v>-70834.0</v>
      </c>
      <c r="D60" s="53">
        <v>-70655.0</v>
      </c>
      <c r="E60" s="53">
        <v>-70026.0</v>
      </c>
      <c r="F60" s="53">
        <v>-70026.0</v>
      </c>
      <c r="G60" s="53">
        <v>-64866.0</v>
      </c>
      <c r="H60" s="53">
        <v>-63515.0</v>
      </c>
      <c r="I60" s="53">
        <v>-62728.0</v>
      </c>
      <c r="J60" s="53">
        <v>-62531.0</v>
      </c>
      <c r="K60" s="53">
        <v>-94508.0</v>
      </c>
      <c r="L60" s="53">
        <v>-148606.0</v>
      </c>
      <c r="M60" s="53">
        <v>-148570.0</v>
      </c>
      <c r="N60" s="53">
        <v>-148537.0</v>
      </c>
      <c r="O60" s="53">
        <v>-148478.0</v>
      </c>
      <c r="P60" s="53">
        <v>-133303.0</v>
      </c>
      <c r="Q60" s="53">
        <v>-133195.0</v>
      </c>
      <c r="R60" s="53">
        <v>-133195.0</v>
      </c>
      <c r="S60" s="53">
        <v>-133141.0</v>
      </c>
      <c r="T60" s="53">
        <v>-217944.0</v>
      </c>
      <c r="U60" s="53">
        <v>-217892.0</v>
      </c>
      <c r="V60" s="53">
        <v>-217671.0</v>
      </c>
      <c r="W60" s="53">
        <v>-326979.0</v>
      </c>
      <c r="X60" s="53">
        <v>-283774.0</v>
      </c>
      <c r="Y60" s="53">
        <v>-283584.0</v>
      </c>
      <c r="Z60" s="53">
        <v>-283445.0</v>
      </c>
      <c r="AA60" s="53">
        <v>-367918.0</v>
      </c>
      <c r="AB60" s="53">
        <v>-545092.0</v>
      </c>
      <c r="AC60" s="53">
        <v>-606638.0</v>
      </c>
      <c r="AD60" s="53">
        <v>-350163.0</v>
      </c>
      <c r="AE60" s="53">
        <v>-349659.0</v>
      </c>
      <c r="AF60" s="53">
        <v>-305211.0</v>
      </c>
      <c r="AG60" s="53">
        <v>-305092.0</v>
      </c>
      <c r="AH60" s="41"/>
      <c r="AI60" s="41"/>
    </row>
    <row r="61" ht="12.75" customHeight="1">
      <c r="A61" s="82" t="s">
        <v>357</v>
      </c>
      <c r="B61" s="83" t="s">
        <v>358</v>
      </c>
      <c r="C61" s="53">
        <v>165649.0</v>
      </c>
      <c r="D61" s="53">
        <v>167059.0</v>
      </c>
      <c r="E61" s="53">
        <v>168405.0</v>
      </c>
      <c r="F61" s="53">
        <v>169907.0</v>
      </c>
      <c r="G61" s="53">
        <v>168153.0</v>
      </c>
      <c r="H61" s="53">
        <v>867814.0</v>
      </c>
      <c r="I61" s="53">
        <v>871639.0</v>
      </c>
      <c r="J61" s="53">
        <v>875979.0</v>
      </c>
      <c r="K61" s="53">
        <v>873243.0</v>
      </c>
      <c r="L61" s="53">
        <v>879145.0</v>
      </c>
      <c r="M61" s="53">
        <v>887095.0</v>
      </c>
      <c r="N61" s="53">
        <v>894824.0</v>
      </c>
      <c r="O61" s="53">
        <v>901880.0</v>
      </c>
      <c r="P61" s="53">
        <v>894758.0</v>
      </c>
      <c r="Q61" s="53">
        <v>867555.0</v>
      </c>
      <c r="R61" s="53">
        <v>864868.0</v>
      </c>
      <c r="S61" s="53">
        <v>878478.0</v>
      </c>
      <c r="T61" s="53">
        <v>856005.0</v>
      </c>
      <c r="U61" s="53">
        <v>875042.0</v>
      </c>
      <c r="V61" s="53">
        <v>723183.0</v>
      </c>
      <c r="W61" s="53">
        <v>738255.0</v>
      </c>
      <c r="X61" s="53">
        <v>693915.0</v>
      </c>
      <c r="Y61" s="53">
        <v>716037.0</v>
      </c>
      <c r="Z61" s="53">
        <v>738293.0</v>
      </c>
      <c r="AA61" s="53">
        <v>758764.0</v>
      </c>
      <c r="AB61" s="53">
        <v>709199.0</v>
      </c>
      <c r="AC61" s="53">
        <v>730765.0</v>
      </c>
      <c r="AD61" s="53">
        <v>281801.0</v>
      </c>
      <c r="AE61" s="53">
        <v>294495.0</v>
      </c>
      <c r="AF61" s="53">
        <v>252057.0</v>
      </c>
      <c r="AG61" s="53">
        <v>280772.0</v>
      </c>
      <c r="AH61" s="41"/>
      <c r="AI61" s="41"/>
    </row>
    <row r="62" ht="12.75" customHeight="1">
      <c r="A62" s="82" t="s">
        <v>359</v>
      </c>
      <c r="B62" s="83" t="s">
        <v>360</v>
      </c>
      <c r="C62" s="53">
        <v>196815.0</v>
      </c>
      <c r="D62" s="53">
        <v>176720.0</v>
      </c>
      <c r="E62" s="53">
        <v>180030.0</v>
      </c>
      <c r="F62" s="53">
        <v>125228.0</v>
      </c>
      <c r="G62" s="53">
        <v>141573.0</v>
      </c>
      <c r="H62" s="53">
        <v>198609.0</v>
      </c>
      <c r="I62" s="53">
        <v>249647.0</v>
      </c>
      <c r="J62" s="53">
        <v>234389.0</v>
      </c>
      <c r="K62" s="53">
        <v>295897.0</v>
      </c>
      <c r="L62" s="53">
        <v>353890.0</v>
      </c>
      <c r="M62" s="53">
        <v>393458.0</v>
      </c>
      <c r="N62" s="53">
        <v>381869.0</v>
      </c>
      <c r="O62" s="53">
        <v>462514.0</v>
      </c>
      <c r="P62" s="53">
        <v>404254.0</v>
      </c>
      <c r="Q62" s="53">
        <v>441981.0</v>
      </c>
      <c r="R62" s="53">
        <v>483214.0</v>
      </c>
      <c r="S62" s="53">
        <v>562669.0</v>
      </c>
      <c r="T62" s="53">
        <v>685062.0</v>
      </c>
      <c r="U62" s="53">
        <v>773325.0</v>
      </c>
      <c r="V62" s="53">
        <v>793569.0</v>
      </c>
      <c r="W62" s="53">
        <v>887690.0</v>
      </c>
      <c r="X62" s="53">
        <v>983095.0</v>
      </c>
      <c r="Y62" s="53">
        <v>1271958.0</v>
      </c>
      <c r="Z62" s="53">
        <v>1262719.0</v>
      </c>
      <c r="AA62" s="53">
        <v>1389368.0</v>
      </c>
      <c r="AB62" s="53">
        <v>1504240.0</v>
      </c>
      <c r="AC62" s="53">
        <v>1659335.0</v>
      </c>
      <c r="AD62" s="53">
        <v>1715436.0</v>
      </c>
      <c r="AE62" s="53">
        <v>1828057.0</v>
      </c>
      <c r="AF62" s="53">
        <v>1928775.0</v>
      </c>
      <c r="AG62" s="53">
        <v>2083796.0</v>
      </c>
      <c r="AH62" s="41"/>
      <c r="AI62" s="41"/>
    </row>
    <row r="63" ht="12.75" customHeight="1">
      <c r="A63" s="82" t="s">
        <v>361</v>
      </c>
      <c r="B63" s="83" t="s">
        <v>362</v>
      </c>
      <c r="C63" s="53">
        <v>-2517.0</v>
      </c>
      <c r="D63" s="53">
        <v>7411.0</v>
      </c>
      <c r="E63" s="53">
        <v>10042.0</v>
      </c>
      <c r="F63" s="53">
        <v>20704.0</v>
      </c>
      <c r="G63" s="53">
        <v>20187.0</v>
      </c>
      <c r="H63" s="53">
        <v>19453.0</v>
      </c>
      <c r="I63" s="53">
        <v>25132.0</v>
      </c>
      <c r="J63" s="53">
        <v>22051.0</v>
      </c>
      <c r="K63" s="53">
        <v>45096.0</v>
      </c>
      <c r="L63" s="53">
        <v>50473.0</v>
      </c>
      <c r="M63" s="53">
        <v>51524.0</v>
      </c>
      <c r="N63" s="53">
        <v>42541.0</v>
      </c>
      <c r="O63" s="53">
        <v>53303.0</v>
      </c>
      <c r="P63" s="53">
        <v>38092.0</v>
      </c>
      <c r="Q63" s="53">
        <v>48832.0</v>
      </c>
      <c r="R63" s="53">
        <v>55457.0</v>
      </c>
      <c r="S63" s="53">
        <v>37440.0</v>
      </c>
      <c r="T63" s="53">
        <v>45985.0</v>
      </c>
      <c r="U63" s="53">
        <v>48575.0</v>
      </c>
      <c r="V63" s="53">
        <v>46950.0</v>
      </c>
      <c r="W63" s="53">
        <v>44506.0</v>
      </c>
      <c r="X63" s="53">
        <v>39933.0</v>
      </c>
      <c r="Y63" s="53">
        <v>45489.0</v>
      </c>
      <c r="Z63" s="53">
        <v>40422.0</v>
      </c>
      <c r="AA63" s="53">
        <v>44042.0</v>
      </c>
      <c r="AB63" s="53">
        <v>56640.0</v>
      </c>
      <c r="AC63" s="53">
        <v>56559.0</v>
      </c>
      <c r="AD63" s="53">
        <v>71693.0</v>
      </c>
      <c r="AE63" s="53">
        <v>64303.0</v>
      </c>
      <c r="AF63" s="53">
        <v>58961.0</v>
      </c>
      <c r="AG63" s="53">
        <v>55296.0</v>
      </c>
      <c r="AH63" s="41"/>
      <c r="AI63" s="41"/>
    </row>
    <row r="64" ht="12.75" customHeight="1">
      <c r="A64" s="82" t="s">
        <v>363</v>
      </c>
      <c r="B64" s="83" t="s">
        <v>364</v>
      </c>
      <c r="C64" s="53">
        <v>5442.0</v>
      </c>
      <c r="D64" s="53">
        <v>0.0</v>
      </c>
      <c r="E64" s="53">
        <v>0.0</v>
      </c>
      <c r="F64" s="53">
        <v>0.0</v>
      </c>
      <c r="G64" s="53">
        <v>0.0</v>
      </c>
      <c r="H64" s="53">
        <v>0.0</v>
      </c>
      <c r="I64" s="53">
        <v>0.0</v>
      </c>
      <c r="J64" s="53">
        <v>24817.0</v>
      </c>
      <c r="K64" s="53">
        <v>24817.0</v>
      </c>
      <c r="L64" s="53">
        <v>0.0</v>
      </c>
      <c r="M64" s="53">
        <v>0.0</v>
      </c>
      <c r="N64" s="53">
        <v>50960.0</v>
      </c>
      <c r="O64" s="53">
        <v>50960.0</v>
      </c>
      <c r="P64" s="53">
        <v>0.0</v>
      </c>
      <c r="Q64" s="53">
        <v>0.0</v>
      </c>
      <c r="R64" s="53">
        <v>0.0</v>
      </c>
      <c r="S64" s="53">
        <v>0.0</v>
      </c>
      <c r="T64" s="53">
        <v>0.0</v>
      </c>
      <c r="U64" s="53">
        <v>0.0</v>
      </c>
      <c r="V64" s="53">
        <v>0.0</v>
      </c>
      <c r="W64" s="53">
        <v>0.0</v>
      </c>
      <c r="X64" s="53">
        <v>0.0</v>
      </c>
      <c r="Y64" s="53">
        <v>0.0</v>
      </c>
      <c r="Z64" s="53">
        <v>0.0</v>
      </c>
      <c r="AA64" s="53">
        <v>0.0</v>
      </c>
      <c r="AB64" s="53">
        <v>0.0</v>
      </c>
      <c r="AC64" s="53">
        <v>0.0</v>
      </c>
      <c r="AD64" s="53">
        <v>0.0</v>
      </c>
      <c r="AE64" s="53">
        <v>0.0</v>
      </c>
      <c r="AF64" s="53">
        <v>0.0</v>
      </c>
      <c r="AG64" s="53">
        <v>0.0</v>
      </c>
      <c r="AH64" s="41"/>
      <c r="AI64" s="41"/>
    </row>
    <row r="65" ht="12.75" customHeight="1">
      <c r="A65" s="82" t="s">
        <v>365</v>
      </c>
      <c r="B65" s="83" t="s">
        <v>366</v>
      </c>
      <c r="C65" s="53">
        <v>433.0</v>
      </c>
      <c r="D65" s="53">
        <v>493.0</v>
      </c>
      <c r="E65" s="53">
        <v>1331.0</v>
      </c>
      <c r="F65" s="53">
        <v>1178.0</v>
      </c>
      <c r="G65" s="53">
        <v>734.0</v>
      </c>
      <c r="H65" s="53">
        <v>850.0</v>
      </c>
      <c r="I65" s="53">
        <v>705.0</v>
      </c>
      <c r="J65" s="53">
        <v>1195.0</v>
      </c>
      <c r="K65" s="53">
        <v>0.0</v>
      </c>
      <c r="L65" s="53">
        <v>0.0</v>
      </c>
      <c r="M65" s="53">
        <v>0.0</v>
      </c>
      <c r="N65" s="53">
        <v>0.0</v>
      </c>
      <c r="O65" s="53">
        <v>0.0</v>
      </c>
      <c r="P65" s="53">
        <v>0.0</v>
      </c>
      <c r="Q65" s="53">
        <v>0.0</v>
      </c>
      <c r="R65" s="53">
        <v>253079.0</v>
      </c>
      <c r="S65" s="53">
        <v>258601.0</v>
      </c>
      <c r="T65" s="53">
        <v>265222.0</v>
      </c>
      <c r="U65" s="53">
        <v>272152.0</v>
      </c>
      <c r="V65" s="53">
        <v>276233.0</v>
      </c>
      <c r="W65" s="53">
        <v>281659.0</v>
      </c>
      <c r="X65" s="53">
        <v>292034.0</v>
      </c>
      <c r="Y65" s="53">
        <v>299078.0</v>
      </c>
      <c r="Z65" s="53">
        <v>292097.0</v>
      </c>
      <c r="AA65" s="53">
        <v>294819.0</v>
      </c>
      <c r="AB65" s="53">
        <v>300652.0</v>
      </c>
      <c r="AC65" s="53">
        <v>305501.0</v>
      </c>
      <c r="AD65" s="53">
        <v>305769.0</v>
      </c>
      <c r="AE65" s="53">
        <v>311717.0</v>
      </c>
      <c r="AF65" s="53">
        <v>318086.0</v>
      </c>
      <c r="AG65" s="53">
        <v>329725.0</v>
      </c>
      <c r="AH65" s="41"/>
      <c r="AI65" s="41"/>
    </row>
    <row r="66" ht="12.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row>
    <row r="67" ht="12.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row>
    <row r="68" ht="12.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row>
    <row r="69" ht="12.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row>
    <row r="70" ht="12.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row>
    <row r="71" ht="12.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row>
    <row r="72" ht="12.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row>
    <row r="73" ht="12.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row>
    <row r="74" ht="12.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row>
    <row r="75" ht="12.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row>
    <row r="76" ht="12.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row>
    <row r="77" ht="12.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row>
    <row r="78" ht="12.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row>
    <row r="79" ht="12.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row>
    <row r="80" ht="12.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row>
    <row r="81" ht="12.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row>
    <row r="82" ht="12.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row>
    <row r="83" ht="12.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row>
    <row r="84" ht="12.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row>
    <row r="85" ht="12.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row>
    <row r="86" ht="12.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row>
    <row r="87" ht="12.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row>
    <row r="88" ht="12.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row>
    <row r="89" ht="12.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row>
    <row r="90" ht="12.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row>
    <row r="91" ht="12.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row>
    <row r="92" ht="12.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row>
    <row r="93" ht="12.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row>
    <row r="94" ht="12.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row>
    <row r="95" ht="12.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row>
    <row r="96" ht="12.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row>
    <row r="97" ht="12.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row>
    <row r="98" ht="12.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row>
    <row r="99" ht="12.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row>
    <row r="100" ht="12.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row>
    <row r="101"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row>
    <row r="102"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row>
    <row r="103"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row>
    <row r="104"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row>
    <row r="105"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row>
    <row r="10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row>
    <row r="107"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row>
    <row r="108"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row>
    <row r="109"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row>
    <row r="110"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row>
    <row r="111"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row>
    <row r="112"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row>
    <row r="113"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row>
    <row r="114"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row>
    <row r="115"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row>
    <row r="11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row>
    <row r="117"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row>
    <row r="118"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row>
    <row r="119"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row>
    <row r="120"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row>
    <row r="121"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row>
    <row r="122"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row>
    <row r="123"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row>
    <row r="124"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row>
    <row r="125"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row>
    <row r="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row>
    <row r="127"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row>
    <row r="128"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row>
    <row r="129"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row>
    <row r="130"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row>
    <row r="131"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row>
    <row r="132"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row>
    <row r="133"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row>
    <row r="134"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row>
    <row r="135"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row>
    <row r="13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row>
    <row r="137"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row>
    <row r="138"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row>
    <row r="139"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row>
    <row r="140"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row>
    <row r="141"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row>
    <row r="142"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row>
    <row r="143"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row>
    <row r="144"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row>
    <row r="145"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row>
    <row r="14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row>
    <row r="147"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row>
    <row r="148"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row>
    <row r="149"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row>
    <row r="150"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row>
    <row r="151"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row>
    <row r="152"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row>
    <row r="153"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row>
    <row r="154"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row>
    <row r="155"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row>
    <row r="15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row>
    <row r="157"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row>
    <row r="158"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row>
    <row r="159"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row>
    <row r="160"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row>
    <row r="161" ht="12.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row>
    <row r="162" ht="12.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row>
    <row r="163" ht="12.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row>
    <row r="164" ht="12.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row>
    <row r="165" ht="12.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row>
    <row r="166" ht="12.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row>
    <row r="167" ht="12.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row>
    <row r="168" ht="12.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row>
    <row r="169" ht="12.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row>
    <row r="170" ht="12.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row>
    <row r="171" ht="12.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row>
    <row r="172" ht="12.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row>
    <row r="173" ht="12.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row>
    <row r="174" ht="12.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row>
    <row r="175" ht="12.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row>
    <row r="176" ht="12.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row>
    <row r="177" ht="12.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row>
    <row r="178" ht="12.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row>
    <row r="179" ht="12.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row>
    <row r="180" ht="12.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row>
    <row r="181" ht="12.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row>
    <row r="182" ht="12.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row>
    <row r="183" ht="12.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row>
    <row r="184" ht="12.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row>
    <row r="185" ht="12.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row>
    <row r="186" ht="12.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row>
    <row r="187" ht="12.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row>
    <row r="188" ht="12.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row>
    <row r="189" ht="12.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row>
    <row r="190" ht="12.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row>
    <row r="191" ht="12.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row>
    <row r="192" ht="12.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row>
    <row r="193" ht="12.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row>
    <row r="194" ht="12.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row>
    <row r="195" ht="12.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row>
    <row r="196" ht="12.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row>
    <row r="197" ht="12.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row>
    <row r="198" ht="12.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row>
    <row r="199" ht="12.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row>
    <row r="200" ht="12.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row>
    <row r="201" ht="12.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row>
    <row r="202" ht="12.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row>
    <row r="203" ht="12.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row>
    <row r="204" ht="12.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row>
    <row r="205" ht="12.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row>
    <row r="206" ht="12.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row>
    <row r="207" ht="12.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row>
    <row r="208" ht="12.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row>
    <row r="209" ht="12.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row>
    <row r="210" ht="12.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row>
    <row r="211" ht="12.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row>
    <row r="212" ht="12.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row>
    <row r="213" ht="12.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row>
    <row r="214" ht="12.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row>
    <row r="215" ht="12.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row>
    <row r="216" ht="12.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row>
    <row r="217" ht="12.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row>
    <row r="218" ht="12.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row>
    <row r="219" ht="12.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row>
    <row r="220" ht="12.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row>
    <row r="221" ht="12.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row>
    <row r="222" ht="12.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row>
    <row r="223" ht="12.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row>
    <row r="224" ht="12.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row>
    <row r="225" ht="12.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row>
    <row r="226" ht="12.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row>
    <row r="227" ht="12.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row>
    <row r="228" ht="12.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row>
    <row r="229" ht="12.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row>
    <row r="230" ht="12.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row>
    <row r="231" ht="12.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row>
    <row r="232" ht="12.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row>
    <row r="233" ht="12.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row>
    <row r="234" ht="12.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row>
    <row r="235" ht="12.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row>
    <row r="236" ht="12.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row>
    <row r="237" ht="12.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row>
    <row r="238" ht="12.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row>
    <row r="239" ht="12.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row>
    <row r="240" ht="12.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row>
    <row r="241" ht="12.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row>
    <row r="242" ht="12.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row>
    <row r="243" ht="12.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row>
    <row r="244" ht="12.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row>
    <row r="245" ht="12.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row>
    <row r="246" ht="12.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row>
    <row r="247" ht="12.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row>
    <row r="248" ht="12.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row>
    <row r="249" ht="12.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row>
    <row r="250" ht="12.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row>
    <row r="251" ht="12.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row>
    <row r="252" ht="12.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row>
    <row r="253" ht="12.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row>
    <row r="254" ht="12.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row>
    <row r="255" ht="12.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row>
    <row r="256" ht="12.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row>
    <row r="257" ht="12.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row>
    <row r="258" ht="12.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row>
    <row r="259" ht="12.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row>
    <row r="260" ht="12.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row>
    <row r="261" ht="12.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row>
    <row r="262" ht="12.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row>
    <row r="263" ht="12.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row>
    <row r="264" ht="12.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row>
    <row r="265" ht="12.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row>
  </sheetData>
  <mergeCells count="1">
    <mergeCell ref="C1:N1"/>
  </mergeCells>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 width="47.71"/>
    <col customWidth="1" min="3" max="23" width="13.0"/>
  </cols>
  <sheetData>
    <row r="1">
      <c r="A1" s="13" t="s">
        <v>25</v>
      </c>
      <c r="B1" s="21" t="s">
        <v>26</v>
      </c>
      <c r="C1" s="41"/>
      <c r="D1" s="41"/>
      <c r="E1" s="41"/>
      <c r="F1" s="41"/>
      <c r="G1" s="41"/>
      <c r="H1" s="41"/>
      <c r="I1" s="41"/>
      <c r="J1" s="41"/>
      <c r="K1" s="41"/>
      <c r="L1" s="41"/>
      <c r="M1" s="41"/>
      <c r="N1" s="41"/>
      <c r="O1" s="41"/>
      <c r="P1" s="41"/>
      <c r="Q1" s="41"/>
      <c r="R1" s="41"/>
      <c r="S1" s="41"/>
      <c r="T1" s="41"/>
      <c r="U1" s="41"/>
      <c r="V1" s="41"/>
      <c r="W1" s="41"/>
      <c r="X1" s="5"/>
      <c r="Y1" s="5"/>
      <c r="Z1" s="5"/>
    </row>
    <row r="2">
      <c r="A2" s="42" t="s">
        <v>367</v>
      </c>
      <c r="B2" s="43" t="s">
        <v>368</v>
      </c>
      <c r="C2" s="77" t="s">
        <v>29</v>
      </c>
      <c r="D2" s="77" t="s">
        <v>30</v>
      </c>
      <c r="E2" s="77" t="s">
        <v>31</v>
      </c>
      <c r="F2" s="77" t="s">
        <v>32</v>
      </c>
      <c r="G2" s="77" t="s">
        <v>33</v>
      </c>
      <c r="H2" s="77" t="s">
        <v>34</v>
      </c>
      <c r="I2" s="77" t="s">
        <v>35</v>
      </c>
      <c r="J2" s="77" t="s">
        <v>36</v>
      </c>
      <c r="K2" s="77" t="s">
        <v>37</v>
      </c>
      <c r="L2" s="77" t="s">
        <v>38</v>
      </c>
      <c r="M2" s="77" t="s">
        <v>39</v>
      </c>
      <c r="N2" s="77" t="s">
        <v>40</v>
      </c>
      <c r="O2" s="77" t="s">
        <v>41</v>
      </c>
      <c r="P2" s="77" t="s">
        <v>42</v>
      </c>
      <c r="Q2" s="77" t="s">
        <v>43</v>
      </c>
      <c r="R2" s="77" t="s">
        <v>44</v>
      </c>
      <c r="S2" s="77" t="s">
        <v>45</v>
      </c>
      <c r="T2" s="77" t="s">
        <v>46</v>
      </c>
      <c r="U2" s="77" t="s">
        <v>47</v>
      </c>
      <c r="V2" s="77"/>
      <c r="W2" s="77"/>
      <c r="X2" s="5"/>
      <c r="Y2" s="5"/>
      <c r="Z2" s="5"/>
    </row>
    <row r="3">
      <c r="A3" s="86" t="s">
        <v>369</v>
      </c>
      <c r="B3" s="87" t="s">
        <v>370</v>
      </c>
      <c r="C3" s="41"/>
      <c r="D3" s="41"/>
      <c r="E3" s="41"/>
      <c r="F3" s="41"/>
      <c r="G3" s="41"/>
      <c r="H3" s="41"/>
      <c r="I3" s="41"/>
      <c r="J3" s="41"/>
      <c r="K3" s="41"/>
      <c r="L3" s="41"/>
      <c r="M3" s="41"/>
      <c r="N3" s="41"/>
      <c r="O3" s="41"/>
      <c r="P3" s="41"/>
      <c r="Q3" s="41"/>
      <c r="R3" s="41"/>
      <c r="S3" s="41"/>
      <c r="T3" s="41"/>
      <c r="U3" s="41"/>
      <c r="V3" s="41"/>
      <c r="W3" s="41"/>
      <c r="X3" s="5"/>
      <c r="Y3" s="5"/>
      <c r="Z3" s="5"/>
    </row>
    <row r="4">
      <c r="A4" s="56" t="s">
        <v>371</v>
      </c>
      <c r="B4" s="57" t="s">
        <v>372</v>
      </c>
      <c r="C4" s="58">
        <v>122504.0</v>
      </c>
      <c r="D4" s="58">
        <v>121660.0</v>
      </c>
      <c r="E4" s="58">
        <v>94696.0</v>
      </c>
      <c r="F4" s="58">
        <v>140665.0</v>
      </c>
      <c r="G4" s="58">
        <v>132469.0</v>
      </c>
      <c r="H4" s="58">
        <v>189882.0</v>
      </c>
      <c r="I4" s="58">
        <v>177883.0</v>
      </c>
      <c r="J4" s="58">
        <v>161361.0</v>
      </c>
      <c r="K4" s="58">
        <v>168275.0</v>
      </c>
      <c r="L4" s="58">
        <v>165177.0</v>
      </c>
      <c r="M4" s="58">
        <v>214521.0</v>
      </c>
      <c r="N4" s="58">
        <v>135313.0</v>
      </c>
      <c r="O4" s="58">
        <v>208406.0</v>
      </c>
      <c r="P4" s="58">
        <v>181505.0</v>
      </c>
      <c r="Q4" s="58">
        <v>230528.0</v>
      </c>
      <c r="R4" s="58">
        <v>204799.0</v>
      </c>
      <c r="S4" s="58">
        <v>258556.0</v>
      </c>
      <c r="T4" s="58">
        <v>242867.0</v>
      </c>
      <c r="U4" s="58">
        <v>310689.0</v>
      </c>
      <c r="V4" s="58"/>
      <c r="W4" s="58"/>
      <c r="X4" s="5"/>
      <c r="Y4" s="5"/>
      <c r="Z4" s="5"/>
    </row>
    <row r="5">
      <c r="A5" s="41"/>
      <c r="B5" s="52"/>
      <c r="C5" s="58"/>
      <c r="D5" s="58"/>
      <c r="E5" s="58"/>
      <c r="F5" s="58"/>
      <c r="G5" s="58"/>
      <c r="H5" s="58"/>
      <c r="I5" s="58"/>
      <c r="J5" s="58"/>
      <c r="K5" s="58"/>
      <c r="L5" s="58"/>
      <c r="M5" s="58"/>
      <c r="N5" s="58"/>
      <c r="O5" s="58"/>
      <c r="P5" s="58"/>
      <c r="Q5" s="58"/>
      <c r="R5" s="58"/>
      <c r="S5" s="58"/>
      <c r="T5" s="58"/>
      <c r="U5" s="58"/>
      <c r="V5" s="58"/>
      <c r="W5" s="58"/>
      <c r="X5" s="5"/>
      <c r="Y5" s="5"/>
      <c r="Z5" s="5"/>
    </row>
    <row r="6">
      <c r="A6" s="88" t="s">
        <v>373</v>
      </c>
      <c r="B6" s="88" t="s">
        <v>374</v>
      </c>
      <c r="C6" s="58"/>
      <c r="D6" s="58"/>
      <c r="E6" s="58"/>
      <c r="F6" s="58"/>
      <c r="G6" s="58"/>
      <c r="H6" s="58"/>
      <c r="I6" s="58"/>
      <c r="J6" s="58"/>
      <c r="K6" s="58"/>
      <c r="L6" s="58"/>
      <c r="M6" s="58"/>
      <c r="N6" s="58"/>
      <c r="O6" s="58"/>
      <c r="P6" s="58"/>
      <c r="Q6" s="58"/>
      <c r="R6" s="58"/>
      <c r="S6" s="58"/>
      <c r="T6" s="58"/>
      <c r="U6" s="58"/>
      <c r="V6" s="58"/>
      <c r="W6" s="58"/>
      <c r="X6" s="5"/>
      <c r="Y6" s="5"/>
      <c r="Z6" s="5"/>
    </row>
    <row r="7">
      <c r="A7" s="41" t="s">
        <v>184</v>
      </c>
      <c r="B7" s="52" t="s">
        <v>185</v>
      </c>
      <c r="C7" s="53">
        <v>44130.0</v>
      </c>
      <c r="D7" s="53">
        <v>44536.0</v>
      </c>
      <c r="E7" s="53">
        <v>55609.0</v>
      </c>
      <c r="F7" s="53">
        <v>54909.0</v>
      </c>
      <c r="G7" s="53">
        <v>57110.0</v>
      </c>
      <c r="H7" s="53">
        <v>58116.0</v>
      </c>
      <c r="I7" s="53">
        <v>59635.0</v>
      </c>
      <c r="J7" s="53">
        <v>61267.0</v>
      </c>
      <c r="K7" s="53">
        <v>62136.0</v>
      </c>
      <c r="L7" s="53">
        <v>75791.0</v>
      </c>
      <c r="M7" s="53">
        <v>71540.0</v>
      </c>
      <c r="N7" s="53">
        <v>73334.0</v>
      </c>
      <c r="O7" s="53">
        <v>73375.0</v>
      </c>
      <c r="P7" s="53">
        <v>84261.0</v>
      </c>
      <c r="Q7" s="53">
        <v>86775.0</v>
      </c>
      <c r="R7" s="53">
        <v>81508.0</v>
      </c>
      <c r="S7" s="53">
        <v>85427.0</v>
      </c>
      <c r="T7" s="53">
        <v>88969.0</v>
      </c>
      <c r="U7" s="53">
        <v>93714.0</v>
      </c>
      <c r="V7" s="53"/>
      <c r="W7" s="53"/>
      <c r="X7" s="5"/>
      <c r="Y7" s="5"/>
      <c r="Z7" s="5"/>
    </row>
    <row r="8">
      <c r="A8" s="41" t="s">
        <v>375</v>
      </c>
      <c r="B8" s="52" t="s">
        <v>376</v>
      </c>
      <c r="C8" s="53">
        <v>7115.0</v>
      </c>
      <c r="D8" s="53">
        <v>8053.0</v>
      </c>
      <c r="E8" s="53">
        <v>13967.0</v>
      </c>
      <c r="F8" s="53">
        <v>5478.0</v>
      </c>
      <c r="G8" s="53">
        <v>13739.0</v>
      </c>
      <c r="H8" s="53">
        <v>1563.0</v>
      </c>
      <c r="I8" s="53">
        <v>19217.0</v>
      </c>
      <c r="J8" s="53">
        <v>18611.0</v>
      </c>
      <c r="K8" s="53">
        <v>17346.0</v>
      </c>
      <c r="L8" s="53">
        <v>5441.0</v>
      </c>
      <c r="M8" s="53">
        <v>20454.0</v>
      </c>
      <c r="N8" s="53">
        <v>21083.0</v>
      </c>
      <c r="O8" s="53">
        <v>26045.0</v>
      </c>
      <c r="P8" s="53">
        <v>-6533.0</v>
      </c>
      <c r="Q8" s="53">
        <v>21587.0</v>
      </c>
      <c r="R8" s="53">
        <v>4719.0</v>
      </c>
      <c r="S8" s="53">
        <v>12431.0</v>
      </c>
      <c r="T8" s="53">
        <v>14324.0</v>
      </c>
      <c r="U8" s="53">
        <v>28867.0</v>
      </c>
      <c r="V8" s="53"/>
      <c r="W8" s="53"/>
      <c r="X8" s="5"/>
      <c r="Y8" s="5"/>
      <c r="Z8" s="5"/>
    </row>
    <row r="9">
      <c r="A9" s="41" t="s">
        <v>148</v>
      </c>
      <c r="B9" s="52" t="s">
        <v>377</v>
      </c>
      <c r="C9" s="53">
        <v>-294.0</v>
      </c>
      <c r="D9" s="53">
        <v>310.0</v>
      </c>
      <c r="E9" s="53">
        <v>10383.0</v>
      </c>
      <c r="F9" s="53">
        <v>-826.0</v>
      </c>
      <c r="G9" s="53">
        <v>210.0</v>
      </c>
      <c r="H9" s="53">
        <v>-678.0</v>
      </c>
      <c r="I9" s="53">
        <v>-1911.0</v>
      </c>
      <c r="J9" s="53">
        <v>880.0</v>
      </c>
      <c r="K9" s="53">
        <v>955.0</v>
      </c>
      <c r="L9" s="53">
        <v>-266.0</v>
      </c>
      <c r="M9" s="53">
        <v>-165.0</v>
      </c>
      <c r="N9" s="53">
        <v>880.0</v>
      </c>
      <c r="O9" s="53">
        <v>-564.0</v>
      </c>
      <c r="P9" s="53">
        <v>-6492.0</v>
      </c>
      <c r="Q9" s="53">
        <v>-11127.0</v>
      </c>
      <c r="R9" s="53">
        <v>8487.0</v>
      </c>
      <c r="S9" s="53">
        <v>2295.0</v>
      </c>
      <c r="T9" s="53">
        <v>1677.6015399999997</v>
      </c>
      <c r="U9" s="53">
        <v>-1058.0</v>
      </c>
      <c r="V9" s="53"/>
      <c r="W9" s="53"/>
      <c r="X9" s="5"/>
      <c r="Y9" s="5"/>
      <c r="Z9" s="5"/>
    </row>
    <row r="10">
      <c r="A10" s="41" t="s">
        <v>125</v>
      </c>
      <c r="B10" s="52" t="s">
        <v>95</v>
      </c>
      <c r="C10" s="53">
        <v>5050.0</v>
      </c>
      <c r="D10" s="53">
        <v>4808.0</v>
      </c>
      <c r="E10" s="53">
        <v>8368.0</v>
      </c>
      <c r="F10" s="53">
        <v>2287.0</v>
      </c>
      <c r="G10" s="53">
        <v>7334.0</v>
      </c>
      <c r="H10" s="53">
        <v>5854.0</v>
      </c>
      <c r="I10" s="53">
        <v>8577.0</v>
      </c>
      <c r="J10" s="53">
        <v>5147.0</v>
      </c>
      <c r="K10" s="53">
        <v>7461.0</v>
      </c>
      <c r="L10" s="53">
        <v>10208.0</v>
      </c>
      <c r="M10" s="53">
        <v>10388.0</v>
      </c>
      <c r="N10" s="53">
        <v>8337.0</v>
      </c>
      <c r="O10" s="53">
        <v>13237.0</v>
      </c>
      <c r="P10" s="53">
        <v>16267.0</v>
      </c>
      <c r="Q10" s="53">
        <v>12871.0</v>
      </c>
      <c r="R10" s="53">
        <v>16252.0</v>
      </c>
      <c r="S10" s="53">
        <v>14576.0</v>
      </c>
      <c r="T10" s="53">
        <v>14038.0</v>
      </c>
      <c r="U10" s="53">
        <v>14330.0</v>
      </c>
      <c r="V10" s="53"/>
      <c r="W10" s="53"/>
      <c r="X10" s="5"/>
      <c r="Y10" s="5"/>
      <c r="Z10" s="5"/>
    </row>
    <row r="11">
      <c r="A11" s="41" t="s">
        <v>378</v>
      </c>
      <c r="B11" s="52" t="s">
        <v>187</v>
      </c>
      <c r="C11" s="53">
        <v>0.0</v>
      </c>
      <c r="D11" s="53">
        <v>564.0</v>
      </c>
      <c r="E11" s="53">
        <v>-38.0</v>
      </c>
      <c r="F11" s="53">
        <v>0.0</v>
      </c>
      <c r="G11" s="53">
        <v>-7.0</v>
      </c>
      <c r="H11" s="53">
        <v>0.0</v>
      </c>
      <c r="I11" s="53">
        <v>0.0</v>
      </c>
      <c r="J11" s="53">
        <v>449.0</v>
      </c>
      <c r="K11" s="53">
        <v>0.0</v>
      </c>
      <c r="L11" s="53">
        <v>0.0</v>
      </c>
      <c r="M11" s="53">
        <v>-4402.0</v>
      </c>
      <c r="N11" s="53">
        <v>1207.0</v>
      </c>
      <c r="O11" s="53">
        <v>4261.0</v>
      </c>
      <c r="P11" s="53">
        <v>3561.0</v>
      </c>
      <c r="Q11" s="53">
        <v>-2058.0</v>
      </c>
      <c r="R11" s="53">
        <v>-4193.0</v>
      </c>
      <c r="S11" s="53">
        <v>-2974.0</v>
      </c>
      <c r="T11" s="53">
        <v>-154.0</v>
      </c>
      <c r="U11" s="53">
        <v>-7401.0</v>
      </c>
      <c r="V11" s="53"/>
      <c r="W11" s="53"/>
      <c r="X11" s="5"/>
      <c r="Y11" s="5"/>
      <c r="Z11" s="5"/>
    </row>
    <row r="12">
      <c r="A12" s="41" t="s">
        <v>379</v>
      </c>
      <c r="B12" s="52" t="s">
        <v>380</v>
      </c>
      <c r="C12" s="53">
        <v>9086.0</v>
      </c>
      <c r="D12" s="53">
        <v>4804.0</v>
      </c>
      <c r="E12" s="53">
        <v>10614.0</v>
      </c>
      <c r="F12" s="53">
        <v>7330.0</v>
      </c>
      <c r="G12" s="53">
        <v>10936.0</v>
      </c>
      <c r="H12" s="53">
        <v>2690.0</v>
      </c>
      <c r="I12" s="53">
        <v>5498.0</v>
      </c>
      <c r="J12" s="53">
        <v>12870.0</v>
      </c>
      <c r="K12" s="53">
        <v>105.0</v>
      </c>
      <c r="L12" s="53">
        <v>7126.0</v>
      </c>
      <c r="M12" s="53">
        <v>3498.0</v>
      </c>
      <c r="N12" s="53">
        <v>12350.0</v>
      </c>
      <c r="O12" s="53">
        <v>429.0</v>
      </c>
      <c r="P12" s="53">
        <v>6041.0</v>
      </c>
      <c r="Q12" s="53">
        <v>4535.0</v>
      </c>
      <c r="R12" s="53">
        <v>9893.0</v>
      </c>
      <c r="S12" s="53">
        <v>13470.0</v>
      </c>
      <c r="T12" s="53">
        <v>2128.0</v>
      </c>
      <c r="U12" s="53">
        <v>13669.0</v>
      </c>
      <c r="V12" s="53"/>
      <c r="W12" s="53"/>
      <c r="X12" s="5"/>
      <c r="Y12" s="5"/>
      <c r="Z12" s="5"/>
    </row>
    <row r="13">
      <c r="A13" s="41" t="s">
        <v>381</v>
      </c>
      <c r="B13" s="52" t="s">
        <v>382</v>
      </c>
      <c r="C13" s="53">
        <v>0.0</v>
      </c>
      <c r="D13" s="53">
        <v>0.0</v>
      </c>
      <c r="E13" s="53">
        <v>-1401.0</v>
      </c>
      <c r="F13" s="53">
        <v>18943.0</v>
      </c>
      <c r="G13" s="53">
        <v>24913.0</v>
      </c>
      <c r="H13" s="53">
        <v>-1950.0</v>
      </c>
      <c r="I13" s="53">
        <v>0.0</v>
      </c>
      <c r="J13" s="53">
        <v>5292.0</v>
      </c>
      <c r="K13" s="53">
        <v>21607.0</v>
      </c>
      <c r="L13" s="53">
        <v>5576.0</v>
      </c>
      <c r="M13" s="53">
        <v>8023.0</v>
      </c>
      <c r="N13" s="53">
        <v>35454.0</v>
      </c>
      <c r="O13" s="53">
        <v>14035.0</v>
      </c>
      <c r="P13" s="53">
        <v>-15637.0</v>
      </c>
      <c r="Q13" s="53">
        <v>-20143.0</v>
      </c>
      <c r="R13" s="53">
        <v>16533.0</v>
      </c>
      <c r="S13" s="53">
        <v>11169.0</v>
      </c>
      <c r="T13" s="53">
        <v>5289.0</v>
      </c>
      <c r="U13" s="53">
        <v>0.0</v>
      </c>
      <c r="V13" s="53"/>
      <c r="W13" s="53"/>
      <c r="X13" s="5"/>
      <c r="Y13" s="5"/>
      <c r="Z13" s="5"/>
    </row>
    <row r="14">
      <c r="A14" s="41" t="s">
        <v>383</v>
      </c>
      <c r="B14" s="52" t="s">
        <v>384</v>
      </c>
      <c r="C14" s="53">
        <v>11684.0</v>
      </c>
      <c r="D14" s="53">
        <v>15913.0</v>
      </c>
      <c r="E14" s="53">
        <v>53518.0</v>
      </c>
      <c r="F14" s="53">
        <v>57577.0</v>
      </c>
      <c r="G14" s="53">
        <v>61964.0</v>
      </c>
      <c r="H14" s="53">
        <v>69446.0</v>
      </c>
      <c r="I14" s="53">
        <v>79904.0</v>
      </c>
      <c r="J14" s="53">
        <v>73274.0</v>
      </c>
      <c r="K14" s="53">
        <v>79053.0</v>
      </c>
      <c r="L14" s="53">
        <v>74548.0</v>
      </c>
      <c r="M14" s="53">
        <v>68556.0</v>
      </c>
      <c r="N14" s="53">
        <v>78140.0</v>
      </c>
      <c r="O14" s="53">
        <v>76753.0</v>
      </c>
      <c r="P14" s="53">
        <v>59048.0</v>
      </c>
      <c r="Q14" s="53">
        <v>72388.0</v>
      </c>
      <c r="R14" s="53">
        <v>61847.0</v>
      </c>
      <c r="S14" s="53">
        <v>69317.0</v>
      </c>
      <c r="T14" s="53">
        <v>71111.0</v>
      </c>
      <c r="U14" s="53">
        <v>78254.0</v>
      </c>
      <c r="V14" s="53"/>
      <c r="W14" s="53"/>
      <c r="X14" s="5"/>
      <c r="Y14" s="5"/>
      <c r="Z14" s="5"/>
    </row>
    <row r="15">
      <c r="A15" s="41"/>
      <c r="B15" s="52"/>
      <c r="C15" s="58"/>
      <c r="D15" s="58"/>
      <c r="E15" s="58"/>
      <c r="F15" s="58"/>
      <c r="G15" s="58"/>
      <c r="H15" s="58"/>
      <c r="I15" s="58"/>
      <c r="J15" s="58"/>
      <c r="K15" s="58"/>
      <c r="L15" s="58"/>
      <c r="M15" s="58"/>
      <c r="N15" s="58"/>
      <c r="O15" s="58"/>
      <c r="P15" s="58"/>
      <c r="Q15" s="58"/>
      <c r="R15" s="58"/>
      <c r="S15" s="58"/>
      <c r="T15" s="58"/>
      <c r="U15" s="58"/>
      <c r="V15" s="58"/>
      <c r="W15" s="58"/>
      <c r="X15" s="5"/>
      <c r="Y15" s="5"/>
      <c r="Z15" s="5"/>
    </row>
    <row r="16">
      <c r="A16" s="88" t="s">
        <v>385</v>
      </c>
      <c r="B16" s="88" t="s">
        <v>386</v>
      </c>
      <c r="C16" s="58"/>
      <c r="D16" s="58"/>
      <c r="E16" s="58"/>
      <c r="F16" s="58"/>
      <c r="G16" s="58"/>
      <c r="H16" s="58"/>
      <c r="I16" s="58"/>
      <c r="J16" s="58"/>
      <c r="K16" s="58"/>
      <c r="L16" s="58"/>
      <c r="M16" s="58"/>
      <c r="N16" s="58"/>
      <c r="O16" s="58"/>
      <c r="P16" s="58"/>
      <c r="Q16" s="58"/>
      <c r="R16" s="58"/>
      <c r="S16" s="58"/>
      <c r="T16" s="58"/>
      <c r="U16" s="58"/>
      <c r="V16" s="58"/>
      <c r="W16" s="58"/>
      <c r="X16" s="5"/>
      <c r="Y16" s="5"/>
      <c r="Z16" s="5"/>
    </row>
    <row r="17">
      <c r="A17" s="41" t="s">
        <v>281</v>
      </c>
      <c r="B17" s="52" t="s">
        <v>282</v>
      </c>
      <c r="C17" s="53">
        <v>-7268.0</v>
      </c>
      <c r="D17" s="53">
        <v>-9288.0</v>
      </c>
      <c r="E17" s="53">
        <v>-23729.0</v>
      </c>
      <c r="F17" s="53">
        <v>13956.0</v>
      </c>
      <c r="G17" s="53">
        <v>-57022.0</v>
      </c>
      <c r="H17" s="53">
        <v>-35728.0</v>
      </c>
      <c r="I17" s="53">
        <v>-24103.0</v>
      </c>
      <c r="J17" s="53">
        <v>23408.0</v>
      </c>
      <c r="K17" s="53">
        <v>-31283.0</v>
      </c>
      <c r="L17" s="53">
        <v>-23362.0</v>
      </c>
      <c r="M17" s="53">
        <v>-28629.0</v>
      </c>
      <c r="N17" s="53">
        <v>12709.0</v>
      </c>
      <c r="O17" s="53">
        <v>-48249.0</v>
      </c>
      <c r="P17" s="53">
        <v>-20963.0</v>
      </c>
      <c r="Q17" s="53">
        <v>-9516.0</v>
      </c>
      <c r="R17" s="53">
        <v>7168.0</v>
      </c>
      <c r="S17" s="53">
        <v>-97980.0</v>
      </c>
      <c r="T17" s="53">
        <v>-39949.0</v>
      </c>
      <c r="U17" s="53">
        <v>-18272.0</v>
      </c>
      <c r="V17" s="53"/>
      <c r="W17" s="53"/>
      <c r="X17" s="5"/>
      <c r="Y17" s="5"/>
      <c r="Z17" s="5"/>
    </row>
    <row r="18">
      <c r="A18" s="41" t="s">
        <v>387</v>
      </c>
      <c r="B18" s="52" t="s">
        <v>289</v>
      </c>
      <c r="C18" s="53">
        <v>-765.0</v>
      </c>
      <c r="D18" s="53">
        <v>-4634.0</v>
      </c>
      <c r="E18" s="53">
        <v>4959.0</v>
      </c>
      <c r="F18" s="53">
        <v>-32888.0</v>
      </c>
      <c r="G18" s="53">
        <v>-9605.0</v>
      </c>
      <c r="H18" s="53">
        <v>-38503.0</v>
      </c>
      <c r="I18" s="53">
        <v>-11639.0</v>
      </c>
      <c r="J18" s="53">
        <v>-15689.0</v>
      </c>
      <c r="K18" s="53">
        <v>4883.0</v>
      </c>
      <c r="L18" s="53">
        <v>-12064.0</v>
      </c>
      <c r="M18" s="53">
        <v>11219.0</v>
      </c>
      <c r="N18" s="53">
        <v>-50265.0</v>
      </c>
      <c r="O18" s="53">
        <v>-2696.0</v>
      </c>
      <c r="P18" s="53">
        <v>-15995.0</v>
      </c>
      <c r="Q18" s="53">
        <v>-16891.0</v>
      </c>
      <c r="R18" s="53">
        <v>-15558.0</v>
      </c>
      <c r="S18" s="53">
        <v>-23292.0</v>
      </c>
      <c r="T18" s="53">
        <v>-25828.0</v>
      </c>
      <c r="U18" s="53">
        <v>1628.0</v>
      </c>
      <c r="V18" s="53"/>
      <c r="W18" s="53"/>
      <c r="X18" s="5"/>
      <c r="Y18" s="5"/>
      <c r="Z18" s="5"/>
    </row>
    <row r="19">
      <c r="A19" s="41" t="s">
        <v>302</v>
      </c>
      <c r="B19" s="52" t="s">
        <v>303</v>
      </c>
      <c r="C19" s="53">
        <v>-294.0</v>
      </c>
      <c r="D19" s="53">
        <v>1129.0</v>
      </c>
      <c r="E19" s="53">
        <v>1913.0</v>
      </c>
      <c r="F19" s="53">
        <v>10676.0</v>
      </c>
      <c r="G19" s="53">
        <v>724.0</v>
      </c>
      <c r="H19" s="53">
        <v>-2784.0</v>
      </c>
      <c r="I19" s="53">
        <v>137.0</v>
      </c>
      <c r="J19" s="53">
        <v>-1030.0</v>
      </c>
      <c r="K19" s="53">
        <v>-2716.0</v>
      </c>
      <c r="L19" s="53">
        <v>-1664.0</v>
      </c>
      <c r="M19" s="53">
        <v>226.0</v>
      </c>
      <c r="N19" s="53">
        <v>-1308.0</v>
      </c>
      <c r="O19" s="53">
        <v>1384.0</v>
      </c>
      <c r="P19" s="53">
        <v>-310.0</v>
      </c>
      <c r="Q19" s="53">
        <v>-1076.0</v>
      </c>
      <c r="R19" s="53">
        <v>1655.0</v>
      </c>
      <c r="S19" s="53">
        <v>-3637.0</v>
      </c>
      <c r="T19" s="53">
        <v>-862.0</v>
      </c>
      <c r="U19" s="53">
        <v>170.0</v>
      </c>
      <c r="V19" s="53"/>
      <c r="W19" s="53"/>
      <c r="X19" s="5"/>
      <c r="Y19" s="5"/>
      <c r="Z19" s="5"/>
    </row>
    <row r="20">
      <c r="A20" s="41" t="s">
        <v>292</v>
      </c>
      <c r="B20" s="52" t="s">
        <v>388</v>
      </c>
      <c r="C20" s="53">
        <v>-21761.0</v>
      </c>
      <c r="D20" s="53">
        <v>-21912.0</v>
      </c>
      <c r="E20" s="53">
        <v>-18215.0</v>
      </c>
      <c r="F20" s="53">
        <v>20896.0</v>
      </c>
      <c r="G20" s="53">
        <v>-5568.0</v>
      </c>
      <c r="H20" s="53">
        <v>-38546.0</v>
      </c>
      <c r="I20" s="53">
        <v>-11486.0</v>
      </c>
      <c r="J20" s="53">
        <v>28659.0</v>
      </c>
      <c r="K20" s="53">
        <v>-34452.0</v>
      </c>
      <c r="L20" s="53">
        <v>-54741.0</v>
      </c>
      <c r="M20" s="53">
        <v>-694.0</v>
      </c>
      <c r="N20" s="53">
        <v>52219.0</v>
      </c>
      <c r="O20" s="53">
        <v>-34053.0</v>
      </c>
      <c r="P20" s="53">
        <v>-52836.0</v>
      </c>
      <c r="Q20" s="53">
        <v>-23123.0</v>
      </c>
      <c r="R20" s="53">
        <v>26519.0</v>
      </c>
      <c r="S20" s="53">
        <v>-24260.0</v>
      </c>
      <c r="T20" s="53">
        <v>-108630.0</v>
      </c>
      <c r="U20" s="53">
        <v>-43155.0</v>
      </c>
      <c r="V20" s="53"/>
      <c r="W20" s="53"/>
      <c r="X20" s="5"/>
      <c r="Y20" s="5"/>
      <c r="Z20" s="5"/>
    </row>
    <row r="21" ht="15.75" customHeight="1">
      <c r="A21" s="41" t="s">
        <v>319</v>
      </c>
      <c r="B21" s="52" t="s">
        <v>320</v>
      </c>
      <c r="C21" s="53">
        <v>5908.0</v>
      </c>
      <c r="D21" s="53">
        <v>42405.0</v>
      </c>
      <c r="E21" s="53">
        <v>-31771.0</v>
      </c>
      <c r="F21" s="53">
        <v>-15455.0</v>
      </c>
      <c r="G21" s="53">
        <v>3062.0</v>
      </c>
      <c r="H21" s="53">
        <v>92679.0</v>
      </c>
      <c r="I21" s="53">
        <v>7725.0</v>
      </c>
      <c r="J21" s="53">
        <v>-29914.0</v>
      </c>
      <c r="K21" s="53">
        <v>3425.0</v>
      </c>
      <c r="L21" s="53">
        <v>100758.0</v>
      </c>
      <c r="M21" s="53">
        <v>27236.0</v>
      </c>
      <c r="N21" s="53">
        <v>-34469.0</v>
      </c>
      <c r="O21" s="53">
        <v>7346.0</v>
      </c>
      <c r="P21" s="53">
        <v>102310.0</v>
      </c>
      <c r="Q21" s="53">
        <v>3762.0</v>
      </c>
      <c r="R21" s="53">
        <v>-25972.0</v>
      </c>
      <c r="S21" s="53">
        <v>14907.0</v>
      </c>
      <c r="T21" s="53">
        <v>117314.0</v>
      </c>
      <c r="U21" s="53">
        <v>11116.0</v>
      </c>
      <c r="V21" s="53"/>
      <c r="W21" s="53"/>
      <c r="X21" s="5"/>
      <c r="Y21" s="5"/>
      <c r="Z21" s="5"/>
    </row>
    <row r="22" ht="15.75" customHeight="1">
      <c r="A22" s="41" t="s">
        <v>329</v>
      </c>
      <c r="B22" s="52" t="s">
        <v>330</v>
      </c>
      <c r="C22" s="53">
        <v>-23023.0</v>
      </c>
      <c r="D22" s="53">
        <v>-9128.0</v>
      </c>
      <c r="E22" s="53">
        <v>892.0</v>
      </c>
      <c r="F22" s="53">
        <v>2242.0</v>
      </c>
      <c r="G22" s="53">
        <v>-3038.0</v>
      </c>
      <c r="H22" s="53">
        <v>-1355.0</v>
      </c>
      <c r="I22" s="53">
        <v>15516.0</v>
      </c>
      <c r="J22" s="53">
        <v>10651.0</v>
      </c>
      <c r="K22" s="53">
        <v>-16706.0</v>
      </c>
      <c r="L22" s="53">
        <v>22236.0</v>
      </c>
      <c r="M22" s="53">
        <v>-6158.0</v>
      </c>
      <c r="N22" s="53">
        <v>20334.0</v>
      </c>
      <c r="O22" s="53">
        <v>13738.0</v>
      </c>
      <c r="P22" s="53">
        <v>23395.0</v>
      </c>
      <c r="Q22" s="53">
        <v>-24223.0</v>
      </c>
      <c r="R22" s="53">
        <v>38155.0</v>
      </c>
      <c r="S22" s="53">
        <v>20763.0</v>
      </c>
      <c r="T22" s="53">
        <v>-7930.0</v>
      </c>
      <c r="U22" s="53">
        <v>-17763.0</v>
      </c>
      <c r="V22" s="53"/>
      <c r="W22" s="53"/>
      <c r="X22" s="5"/>
      <c r="Y22" s="5"/>
      <c r="Z22" s="5"/>
    </row>
    <row r="23" ht="15.75" customHeight="1">
      <c r="A23" s="41" t="s">
        <v>331</v>
      </c>
      <c r="B23" s="52" t="s">
        <v>332</v>
      </c>
      <c r="C23" s="53">
        <v>8836.0</v>
      </c>
      <c r="D23" s="53">
        <v>-3047.0</v>
      </c>
      <c r="E23" s="53">
        <v>-1730.0</v>
      </c>
      <c r="F23" s="53">
        <v>-680.0</v>
      </c>
      <c r="G23" s="53">
        <v>9359.0</v>
      </c>
      <c r="H23" s="53">
        <v>-5186.0</v>
      </c>
      <c r="I23" s="53">
        <v>76.0</v>
      </c>
      <c r="J23" s="53">
        <v>3112.0</v>
      </c>
      <c r="K23" s="53">
        <v>8331.0</v>
      </c>
      <c r="L23" s="53">
        <v>-5852.0</v>
      </c>
      <c r="M23" s="53">
        <v>-3007.0</v>
      </c>
      <c r="N23" s="53">
        <v>-2380.0</v>
      </c>
      <c r="O23" s="53">
        <v>-3961.0</v>
      </c>
      <c r="P23" s="53">
        <v>-8816.0</v>
      </c>
      <c r="Q23" s="53">
        <v>11218.0</v>
      </c>
      <c r="R23" s="53">
        <v>5496.0</v>
      </c>
      <c r="S23" s="53">
        <v>-8291.0</v>
      </c>
      <c r="T23" s="53">
        <v>3541.0</v>
      </c>
      <c r="U23" s="53">
        <v>5287.0</v>
      </c>
      <c r="V23" s="53"/>
      <c r="W23" s="53"/>
      <c r="X23" s="5"/>
      <c r="Y23" s="5"/>
      <c r="Z23" s="5"/>
    </row>
    <row r="24" ht="15.75" customHeight="1">
      <c r="A24" s="41" t="s">
        <v>389</v>
      </c>
      <c r="B24" s="52" t="s">
        <v>390</v>
      </c>
      <c r="C24" s="53">
        <v>-8460.0</v>
      </c>
      <c r="D24" s="53">
        <v>-3130.0</v>
      </c>
      <c r="E24" s="53">
        <v>17141.0</v>
      </c>
      <c r="F24" s="53">
        <v>4814.0</v>
      </c>
      <c r="G24" s="53">
        <v>4840.0</v>
      </c>
      <c r="H24" s="53">
        <v>-6151.0</v>
      </c>
      <c r="I24" s="53">
        <v>2289.0</v>
      </c>
      <c r="J24" s="53">
        <v>-8447.0</v>
      </c>
      <c r="K24" s="53">
        <v>-12907.0</v>
      </c>
      <c r="L24" s="53">
        <v>-6356.0</v>
      </c>
      <c r="M24" s="53">
        <v>-20989.0</v>
      </c>
      <c r="N24" s="53">
        <v>12981.0</v>
      </c>
      <c r="O24" s="53">
        <v>-7832.0</v>
      </c>
      <c r="P24" s="53">
        <v>865.0</v>
      </c>
      <c r="Q24" s="53">
        <v>3274.0</v>
      </c>
      <c r="R24" s="53">
        <v>435.0</v>
      </c>
      <c r="S24" s="53">
        <v>9010.0</v>
      </c>
      <c r="T24" s="53">
        <v>16434.0</v>
      </c>
      <c r="U24" s="53">
        <v>-14385.0</v>
      </c>
      <c r="V24" s="53"/>
      <c r="W24" s="53"/>
      <c r="X24" s="5"/>
      <c r="Y24" s="5"/>
      <c r="Z24" s="5"/>
    </row>
    <row r="25" ht="15.75" customHeight="1">
      <c r="A25" s="41" t="s">
        <v>339</v>
      </c>
      <c r="B25" s="52" t="s">
        <v>391</v>
      </c>
      <c r="C25" s="53">
        <v>0.0</v>
      </c>
      <c r="D25" s="53">
        <v>0.0</v>
      </c>
      <c r="E25" s="53">
        <v>0.0</v>
      </c>
      <c r="F25" s="53">
        <v>0.0</v>
      </c>
      <c r="G25" s="53">
        <v>0.0</v>
      </c>
      <c r="H25" s="53">
        <v>0.0</v>
      </c>
      <c r="I25" s="53">
        <v>0.0</v>
      </c>
      <c r="J25" s="53">
        <v>0.0</v>
      </c>
      <c r="K25" s="53">
        <v>0.0</v>
      </c>
      <c r="L25" s="53">
        <v>0.0</v>
      </c>
      <c r="M25" s="53">
        <v>0.0</v>
      </c>
      <c r="N25" s="53">
        <v>0.0</v>
      </c>
      <c r="O25" s="53">
        <v>0.0</v>
      </c>
      <c r="P25" s="53">
        <v>0.0</v>
      </c>
      <c r="Q25" s="53">
        <v>0.0</v>
      </c>
      <c r="R25" s="53">
        <v>0.0</v>
      </c>
      <c r="S25" s="53">
        <v>0.0</v>
      </c>
      <c r="T25" s="53">
        <v>0.0</v>
      </c>
      <c r="U25" s="53">
        <v>0.0</v>
      </c>
      <c r="V25" s="53"/>
      <c r="W25" s="53"/>
      <c r="X25" s="5"/>
      <c r="Y25" s="5"/>
      <c r="Z25" s="5"/>
    </row>
    <row r="26" ht="15.75" customHeight="1">
      <c r="A26" s="41" t="s">
        <v>392</v>
      </c>
      <c r="B26" s="52" t="s">
        <v>393</v>
      </c>
      <c r="C26" s="53">
        <v>5359.0</v>
      </c>
      <c r="D26" s="53">
        <v>-25473.0</v>
      </c>
      <c r="E26" s="53">
        <v>-31428.0</v>
      </c>
      <c r="F26" s="53">
        <v>-8577.0</v>
      </c>
      <c r="G26" s="53">
        <v>5686.0</v>
      </c>
      <c r="H26" s="53">
        <v>1137.0</v>
      </c>
      <c r="I26" s="53">
        <v>6352.0</v>
      </c>
      <c r="J26" s="53">
        <v>-24625.0</v>
      </c>
      <c r="K26" s="53">
        <v>12853.0</v>
      </c>
      <c r="L26" s="53">
        <v>-9606.0</v>
      </c>
      <c r="M26" s="53">
        <v>8300.0</v>
      </c>
      <c r="N26" s="53">
        <v>-30513.0</v>
      </c>
      <c r="O26" s="53">
        <v>-7043.0</v>
      </c>
      <c r="P26" s="53">
        <v>266.0</v>
      </c>
      <c r="Q26" s="53">
        <v>-8832.0</v>
      </c>
      <c r="R26" s="53">
        <v>-7340.0</v>
      </c>
      <c r="S26" s="53">
        <v>-900.0</v>
      </c>
      <c r="T26" s="53">
        <v>-13208.0</v>
      </c>
      <c r="U26" s="53">
        <v>812.0</v>
      </c>
      <c r="V26" s="53"/>
      <c r="W26" s="53"/>
      <c r="X26" s="5"/>
      <c r="Y26" s="5"/>
      <c r="Z26" s="5"/>
    </row>
    <row r="27" ht="15.75" customHeight="1">
      <c r="A27" s="56" t="s">
        <v>394</v>
      </c>
      <c r="B27" s="57" t="s">
        <v>395</v>
      </c>
      <c r="C27" s="58">
        <f t="shared" ref="C27:U27" si="1">SUM(C4,C7:C14,C17:C26)</f>
        <v>157807</v>
      </c>
      <c r="D27" s="58">
        <f t="shared" si="1"/>
        <v>167570</v>
      </c>
      <c r="E27" s="58">
        <f t="shared" si="1"/>
        <v>163748</v>
      </c>
      <c r="F27" s="58">
        <f t="shared" si="1"/>
        <v>281347</v>
      </c>
      <c r="G27" s="58">
        <f t="shared" si="1"/>
        <v>257106</v>
      </c>
      <c r="H27" s="58">
        <f t="shared" si="1"/>
        <v>290486</v>
      </c>
      <c r="I27" s="58">
        <f t="shared" si="1"/>
        <v>333670</v>
      </c>
      <c r="J27" s="58">
        <f t="shared" si="1"/>
        <v>325276</v>
      </c>
      <c r="K27" s="58">
        <f t="shared" si="1"/>
        <v>288366</v>
      </c>
      <c r="L27" s="58">
        <f t="shared" si="1"/>
        <v>352950</v>
      </c>
      <c r="M27" s="58">
        <f t="shared" si="1"/>
        <v>379917</v>
      </c>
      <c r="N27" s="58">
        <f t="shared" si="1"/>
        <v>345406</v>
      </c>
      <c r="O27" s="58">
        <f t="shared" si="1"/>
        <v>334611</v>
      </c>
      <c r="P27" s="58">
        <f t="shared" si="1"/>
        <v>349937</v>
      </c>
      <c r="Q27" s="58">
        <f t="shared" si="1"/>
        <v>329949</v>
      </c>
      <c r="R27" s="58">
        <f t="shared" si="1"/>
        <v>430403</v>
      </c>
      <c r="S27" s="58">
        <f t="shared" si="1"/>
        <v>350587</v>
      </c>
      <c r="T27" s="58">
        <f t="shared" si="1"/>
        <v>381131.6015</v>
      </c>
      <c r="U27" s="58">
        <f t="shared" si="1"/>
        <v>456502</v>
      </c>
      <c r="V27" s="58"/>
      <c r="W27" s="58"/>
      <c r="X27" s="5"/>
      <c r="Y27" s="5"/>
      <c r="Z27" s="5"/>
    </row>
    <row r="28" ht="15.75" customHeight="1">
      <c r="A28" s="56"/>
      <c r="B28" s="57"/>
      <c r="C28" s="58"/>
      <c r="D28" s="58"/>
      <c r="E28" s="58"/>
      <c r="F28" s="58"/>
      <c r="G28" s="58"/>
      <c r="H28" s="58"/>
      <c r="I28" s="58"/>
      <c r="J28" s="58"/>
      <c r="K28" s="58"/>
      <c r="L28" s="58"/>
      <c r="M28" s="58"/>
      <c r="N28" s="58"/>
      <c r="O28" s="58"/>
      <c r="P28" s="58"/>
      <c r="Q28" s="58"/>
      <c r="R28" s="58"/>
      <c r="S28" s="58"/>
      <c r="T28" s="58"/>
      <c r="U28" s="58"/>
      <c r="V28" s="58"/>
      <c r="W28" s="58"/>
      <c r="X28" s="5"/>
      <c r="Y28" s="5"/>
      <c r="Z28" s="5"/>
    </row>
    <row r="29" ht="15.75" customHeight="1">
      <c r="A29" s="41" t="s">
        <v>396</v>
      </c>
      <c r="B29" s="52" t="s">
        <v>397</v>
      </c>
      <c r="C29" s="53">
        <v>-3638.0</v>
      </c>
      <c r="D29" s="53">
        <v>-3123.0</v>
      </c>
      <c r="E29" s="53">
        <v>-3192.0</v>
      </c>
      <c r="F29" s="53">
        <v>-54073.0</v>
      </c>
      <c r="G29" s="53">
        <v>-3038.0</v>
      </c>
      <c r="H29" s="53">
        <v>-93502.0</v>
      </c>
      <c r="I29" s="53">
        <v>-76737.0</v>
      </c>
      <c r="J29" s="53">
        <v>-3113.0</v>
      </c>
      <c r="K29" s="53">
        <v>-108686.0</v>
      </c>
      <c r="L29" s="53">
        <v>-2246.0</v>
      </c>
      <c r="M29" s="53">
        <v>-111614.0</v>
      </c>
      <c r="N29" s="53">
        <v>-2375.0</v>
      </c>
      <c r="O29" s="53">
        <v>-97810.0</v>
      </c>
      <c r="P29" s="53">
        <v>-2434.0</v>
      </c>
      <c r="Q29" s="53">
        <v>-76152.0</v>
      </c>
      <c r="R29" s="53">
        <v>-1532.0</v>
      </c>
      <c r="S29" s="53">
        <v>-80231.0</v>
      </c>
      <c r="T29" s="53">
        <v>-2245.0</v>
      </c>
      <c r="U29" s="53">
        <v>-112868.0</v>
      </c>
      <c r="V29" s="53"/>
      <c r="W29" s="53"/>
      <c r="X29" s="5"/>
      <c r="Y29" s="5"/>
      <c r="Z29" s="5"/>
    </row>
    <row r="30" ht="15.75" customHeight="1">
      <c r="A30" s="41" t="s">
        <v>398</v>
      </c>
      <c r="B30" s="52" t="s">
        <v>399</v>
      </c>
      <c r="C30" s="53">
        <v>-45226.0</v>
      </c>
      <c r="D30" s="53">
        <v>-23339.0</v>
      </c>
      <c r="E30" s="53">
        <v>-29493.0</v>
      </c>
      <c r="F30" s="53">
        <v>-33889.0</v>
      </c>
      <c r="G30" s="53">
        <v>-50073.0</v>
      </c>
      <c r="H30" s="53">
        <v>-9637.0</v>
      </c>
      <c r="I30" s="53">
        <v>-32128.0</v>
      </c>
      <c r="J30" s="53">
        <v>-22750.0</v>
      </c>
      <c r="K30" s="53">
        <v>-51550.0</v>
      </c>
      <c r="L30" s="53">
        <v>-28483.0</v>
      </c>
      <c r="M30" s="53">
        <v>-63355.0</v>
      </c>
      <c r="N30" s="53">
        <v>-46223.0</v>
      </c>
      <c r="O30" s="53">
        <v>-53870.0</v>
      </c>
      <c r="P30" s="53">
        <v>-41880.0</v>
      </c>
      <c r="Q30" s="53">
        <v>-33442.0</v>
      </c>
      <c r="R30" s="53">
        <v>-26960.0</v>
      </c>
      <c r="S30" s="53">
        <v>-73808.0</v>
      </c>
      <c r="T30" s="53">
        <v>-27197.0</v>
      </c>
      <c r="U30" s="53">
        <v>-33572.0</v>
      </c>
      <c r="V30" s="53"/>
      <c r="W30" s="53"/>
      <c r="X30" s="5"/>
      <c r="Y30" s="5"/>
      <c r="Z30" s="5"/>
    </row>
    <row r="31" ht="15.75" customHeight="1">
      <c r="A31" s="56" t="s">
        <v>400</v>
      </c>
      <c r="B31" s="57" t="s">
        <v>401</v>
      </c>
      <c r="C31" s="58">
        <f t="shared" ref="C31:U31" si="2">SUM(C27,C29:C30)</f>
        <v>108943</v>
      </c>
      <c r="D31" s="58">
        <f t="shared" si="2"/>
        <v>141108</v>
      </c>
      <c r="E31" s="58">
        <f t="shared" si="2"/>
        <v>131063</v>
      </c>
      <c r="F31" s="58">
        <f t="shared" si="2"/>
        <v>193385</v>
      </c>
      <c r="G31" s="58">
        <f t="shared" si="2"/>
        <v>203995</v>
      </c>
      <c r="H31" s="58">
        <f t="shared" si="2"/>
        <v>187347</v>
      </c>
      <c r="I31" s="58">
        <f t="shared" si="2"/>
        <v>224805</v>
      </c>
      <c r="J31" s="58">
        <f t="shared" si="2"/>
        <v>299413</v>
      </c>
      <c r="K31" s="58">
        <f t="shared" si="2"/>
        <v>128130</v>
      </c>
      <c r="L31" s="58">
        <f t="shared" si="2"/>
        <v>322221</v>
      </c>
      <c r="M31" s="58">
        <f t="shared" si="2"/>
        <v>204948</v>
      </c>
      <c r="N31" s="58">
        <f t="shared" si="2"/>
        <v>296808</v>
      </c>
      <c r="O31" s="58">
        <f t="shared" si="2"/>
        <v>182931</v>
      </c>
      <c r="P31" s="58">
        <f t="shared" si="2"/>
        <v>305623</v>
      </c>
      <c r="Q31" s="58">
        <f t="shared" si="2"/>
        <v>220355</v>
      </c>
      <c r="R31" s="58">
        <f t="shared" si="2"/>
        <v>401911</v>
      </c>
      <c r="S31" s="58">
        <f t="shared" si="2"/>
        <v>196548</v>
      </c>
      <c r="T31" s="58">
        <f t="shared" si="2"/>
        <v>351689.6015</v>
      </c>
      <c r="U31" s="58">
        <f t="shared" si="2"/>
        <v>310062</v>
      </c>
      <c r="V31" s="58"/>
      <c r="W31" s="58"/>
      <c r="X31" s="5"/>
      <c r="Y31" s="5"/>
      <c r="Z31" s="5"/>
    </row>
    <row r="32" ht="15.75" customHeight="1">
      <c r="A32" s="56"/>
      <c r="B32" s="57"/>
      <c r="C32" s="58"/>
      <c r="D32" s="58"/>
      <c r="E32" s="58"/>
      <c r="F32" s="58"/>
      <c r="G32" s="58"/>
      <c r="H32" s="58"/>
      <c r="I32" s="58"/>
      <c r="J32" s="58"/>
      <c r="K32" s="58"/>
      <c r="L32" s="58"/>
      <c r="M32" s="58"/>
      <c r="N32" s="58"/>
      <c r="O32" s="58"/>
      <c r="P32" s="58"/>
      <c r="Q32" s="58"/>
      <c r="R32" s="58"/>
      <c r="S32" s="58"/>
      <c r="T32" s="58"/>
      <c r="U32" s="58"/>
      <c r="V32" s="58"/>
      <c r="W32" s="58"/>
      <c r="X32" s="5"/>
      <c r="Y32" s="5"/>
      <c r="Z32" s="5"/>
    </row>
    <row r="33" ht="15.75" customHeight="1">
      <c r="A33" s="86" t="s">
        <v>402</v>
      </c>
      <c r="B33" s="87" t="s">
        <v>403</v>
      </c>
      <c r="C33" s="58"/>
      <c r="D33" s="58"/>
      <c r="E33" s="58"/>
      <c r="F33" s="58"/>
      <c r="G33" s="58"/>
      <c r="H33" s="58"/>
      <c r="I33" s="58"/>
      <c r="J33" s="58"/>
      <c r="K33" s="58"/>
      <c r="L33" s="58"/>
      <c r="M33" s="58"/>
      <c r="N33" s="58"/>
      <c r="O33" s="58"/>
      <c r="P33" s="58"/>
      <c r="Q33" s="58"/>
      <c r="R33" s="58"/>
      <c r="S33" s="58"/>
      <c r="T33" s="58"/>
      <c r="U33" s="58"/>
      <c r="V33" s="58"/>
      <c r="W33" s="58"/>
      <c r="X33" s="5"/>
      <c r="Y33" s="5"/>
      <c r="Z33" s="5"/>
    </row>
    <row r="34" ht="15.75" customHeight="1">
      <c r="A34" s="41" t="s">
        <v>404</v>
      </c>
      <c r="B34" s="52" t="s">
        <v>405</v>
      </c>
      <c r="C34" s="53">
        <v>0.0</v>
      </c>
      <c r="D34" s="53">
        <v>0.0</v>
      </c>
      <c r="E34" s="53">
        <v>1373.0</v>
      </c>
      <c r="F34" s="53">
        <v>746.0</v>
      </c>
      <c r="G34" s="53">
        <v>0.0</v>
      </c>
      <c r="H34" s="53">
        <v>0.0</v>
      </c>
      <c r="I34" s="53" t="s">
        <v>406</v>
      </c>
      <c r="J34" s="53" t="s">
        <v>406</v>
      </c>
      <c r="K34" s="53">
        <v>0.0</v>
      </c>
      <c r="L34" s="53">
        <v>0.0</v>
      </c>
      <c r="M34" s="53">
        <v>9073.0</v>
      </c>
      <c r="N34" s="53">
        <v>0.0</v>
      </c>
      <c r="O34" s="53">
        <v>0.0</v>
      </c>
      <c r="P34" s="53">
        <v>0.0</v>
      </c>
      <c r="Q34" s="53">
        <v>0.0</v>
      </c>
      <c r="R34" s="53">
        <v>0.0</v>
      </c>
      <c r="S34" s="53">
        <v>0.0</v>
      </c>
      <c r="T34" s="53">
        <v>0.0</v>
      </c>
      <c r="U34" s="53">
        <v>15598.0</v>
      </c>
      <c r="V34" s="53"/>
      <c r="W34" s="53"/>
      <c r="X34" s="5"/>
      <c r="Y34" s="5"/>
      <c r="Z34" s="5"/>
    </row>
    <row r="35" ht="15.75" customHeight="1">
      <c r="A35" s="41" t="s">
        <v>407</v>
      </c>
      <c r="B35" s="52" t="s">
        <v>408</v>
      </c>
      <c r="C35" s="53">
        <v>-9673.0</v>
      </c>
      <c r="D35" s="53">
        <v>-13290.0</v>
      </c>
      <c r="E35" s="53">
        <v>-34988.0</v>
      </c>
      <c r="F35" s="53">
        <v>-35548.0</v>
      </c>
      <c r="G35" s="53">
        <v>-14557.0</v>
      </c>
      <c r="H35" s="53">
        <v>-18229.0</v>
      </c>
      <c r="I35" s="53">
        <v>-35968.0</v>
      </c>
      <c r="J35" s="53">
        <v>-32184.0</v>
      </c>
      <c r="K35" s="53">
        <v>-37927.0</v>
      </c>
      <c r="L35" s="53">
        <v>-22751.0</v>
      </c>
      <c r="M35" s="53">
        <v>-37263.0</v>
      </c>
      <c r="N35" s="53">
        <v>-25319.0</v>
      </c>
      <c r="O35" s="53">
        <v>-23469.0</v>
      </c>
      <c r="P35" s="53">
        <v>-37315.0</v>
      </c>
      <c r="Q35" s="53">
        <v>-19760.0</v>
      </c>
      <c r="R35" s="53">
        <v>-38704.0</v>
      </c>
      <c r="S35" s="53">
        <v>-51840.0</v>
      </c>
      <c r="T35" s="53">
        <v>-41874.0</v>
      </c>
      <c r="U35" s="53">
        <v>-29901.0</v>
      </c>
      <c r="V35" s="53"/>
      <c r="W35" s="53"/>
      <c r="X35" s="5"/>
      <c r="Y35" s="5"/>
      <c r="Z35" s="5"/>
    </row>
    <row r="36" ht="15.75" customHeight="1">
      <c r="A36" s="41" t="s">
        <v>409</v>
      </c>
      <c r="B36" s="52" t="s">
        <v>410</v>
      </c>
      <c r="C36" s="53">
        <v>-10436.0</v>
      </c>
      <c r="D36" s="53">
        <v>-13162.0</v>
      </c>
      <c r="E36" s="53">
        <v>-39914.0</v>
      </c>
      <c r="F36" s="53">
        <v>-17790.0</v>
      </c>
      <c r="G36" s="53">
        <v>-9709.0</v>
      </c>
      <c r="H36" s="53">
        <v>-23486.0</v>
      </c>
      <c r="I36" s="53">
        <v>-21989.0</v>
      </c>
      <c r="J36" s="53">
        <v>-25001.0</v>
      </c>
      <c r="K36" s="53">
        <v>-28830.0</v>
      </c>
      <c r="L36" s="53">
        <v>-21260.0</v>
      </c>
      <c r="M36" s="53">
        <v>-83535.0</v>
      </c>
      <c r="N36" s="53">
        <v>-20315.0</v>
      </c>
      <c r="O36" s="53">
        <v>-36152.0</v>
      </c>
      <c r="P36" s="53">
        <v>-41926.0</v>
      </c>
      <c r="Q36" s="53">
        <v>-20138.0</v>
      </c>
      <c r="R36" s="53">
        <v>-24238.0</v>
      </c>
      <c r="S36" s="53">
        <v>-22318.0</v>
      </c>
      <c r="T36" s="53">
        <v>-29688.0</v>
      </c>
      <c r="U36" s="53">
        <v>-24285.0</v>
      </c>
      <c r="V36" s="53"/>
      <c r="W36" s="53"/>
      <c r="X36" s="5"/>
      <c r="Y36" s="5"/>
      <c r="Z36" s="5"/>
    </row>
    <row r="37" ht="15.75" customHeight="1">
      <c r="A37" s="41" t="s">
        <v>411</v>
      </c>
      <c r="B37" s="52" t="s">
        <v>412</v>
      </c>
      <c r="C37" s="53">
        <v>-2996.0</v>
      </c>
      <c r="D37" s="53">
        <v>-18166.0</v>
      </c>
      <c r="E37" s="53">
        <v>-9876.0</v>
      </c>
      <c r="F37" s="53">
        <v>-16626.0</v>
      </c>
      <c r="G37" s="53">
        <v>4471.0</v>
      </c>
      <c r="H37" s="53">
        <v>4747.0</v>
      </c>
      <c r="I37" s="53">
        <v>12101.0</v>
      </c>
      <c r="J37" s="53">
        <v>2938.0</v>
      </c>
      <c r="K37" s="53">
        <v>6195.0</v>
      </c>
      <c r="L37" s="53">
        <v>5518.0</v>
      </c>
      <c r="M37" s="53">
        <v>-2484.0</v>
      </c>
      <c r="N37" s="53">
        <v>3921.0</v>
      </c>
      <c r="O37" s="53">
        <v>3585.0</v>
      </c>
      <c r="P37" s="53">
        <v>3821.0</v>
      </c>
      <c r="Q37" s="53">
        <v>-18763.0</v>
      </c>
      <c r="R37" s="53">
        <v>10768.0</v>
      </c>
      <c r="S37" s="53">
        <v>2916.0</v>
      </c>
      <c r="T37" s="53">
        <v>3299.0</v>
      </c>
      <c r="U37" s="53">
        <v>2141.0</v>
      </c>
      <c r="V37" s="53"/>
      <c r="W37" s="53"/>
      <c r="X37" s="5"/>
      <c r="Y37" s="5"/>
      <c r="Z37" s="5"/>
    </row>
    <row r="38" ht="15.75" customHeight="1">
      <c r="A38" s="41" t="s">
        <v>413</v>
      </c>
      <c r="B38" s="52" t="s">
        <v>414</v>
      </c>
      <c r="C38" s="53">
        <v>0.0</v>
      </c>
      <c r="D38" s="53">
        <v>-1705030.0</v>
      </c>
      <c r="E38" s="53">
        <v>-1.0</v>
      </c>
      <c r="F38" s="53">
        <v>0.0</v>
      </c>
      <c r="G38" s="53">
        <v>-67589.0</v>
      </c>
      <c r="H38" s="53">
        <v>-29947.0</v>
      </c>
      <c r="I38" s="53">
        <v>-82218.0</v>
      </c>
      <c r="J38" s="53">
        <v>-996.0</v>
      </c>
      <c r="K38" s="53">
        <v>0.0</v>
      </c>
      <c r="L38" s="53">
        <v>-38748.0</v>
      </c>
      <c r="M38" s="53">
        <v>-44451.0</v>
      </c>
      <c r="N38" s="53">
        <v>-5668.0</v>
      </c>
      <c r="O38" s="53">
        <v>-570907.0</v>
      </c>
      <c r="P38" s="53">
        <v>-12666.0</v>
      </c>
      <c r="Q38" s="53">
        <v>0.0</v>
      </c>
      <c r="R38" s="53">
        <v>-38871.0</v>
      </c>
      <c r="S38" s="53">
        <v>0.0</v>
      </c>
      <c r="T38" s="53">
        <v>0.0</v>
      </c>
      <c r="U38" s="53">
        <v>-194227.0</v>
      </c>
      <c r="V38" s="53"/>
      <c r="W38" s="53"/>
      <c r="X38" s="5"/>
      <c r="Y38" s="5"/>
      <c r="Z38" s="5"/>
    </row>
    <row r="39" ht="15.75" customHeight="1">
      <c r="A39" s="41" t="s">
        <v>415</v>
      </c>
      <c r="B39" s="52" t="s">
        <v>416</v>
      </c>
      <c r="C39" s="53">
        <v>-24065.0</v>
      </c>
      <c r="D39" s="53">
        <v>-1389.0</v>
      </c>
      <c r="E39" s="53">
        <v>-7788.0</v>
      </c>
      <c r="F39" s="53">
        <v>-820.0</v>
      </c>
      <c r="G39" s="53">
        <v>-119449.0</v>
      </c>
      <c r="H39" s="53">
        <v>-50531.0</v>
      </c>
      <c r="I39" s="53">
        <v>-13641.0</v>
      </c>
      <c r="J39" s="53">
        <v>-25641.0</v>
      </c>
      <c r="K39" s="53">
        <v>-11732.0</v>
      </c>
      <c r="L39" s="53">
        <v>-25752.0</v>
      </c>
      <c r="M39" s="53">
        <v>-5305.0</v>
      </c>
      <c r="N39" s="53">
        <v>-707.0</v>
      </c>
      <c r="O39" s="53">
        <v>-25641.0</v>
      </c>
      <c r="P39" s="53">
        <v>-289349.0</v>
      </c>
      <c r="Q39" s="53">
        <v>0.0</v>
      </c>
      <c r="R39" s="53">
        <v>-159681.0</v>
      </c>
      <c r="S39" s="53">
        <v>-87484.0</v>
      </c>
      <c r="T39" s="53">
        <v>-26683.0</v>
      </c>
      <c r="U39" s="53">
        <v>-7521.0</v>
      </c>
      <c r="V39" s="53"/>
      <c r="W39" s="53"/>
      <c r="X39" s="5"/>
      <c r="Y39" s="5"/>
      <c r="Z39" s="5"/>
    </row>
    <row r="40" ht="15.75" customHeight="1">
      <c r="A40" s="41" t="s">
        <v>417</v>
      </c>
      <c r="B40" s="52" t="s">
        <v>418</v>
      </c>
      <c r="C40" s="53">
        <v>5041.0</v>
      </c>
      <c r="D40" s="53">
        <v>346.0</v>
      </c>
      <c r="E40" s="53">
        <v>41.0</v>
      </c>
      <c r="F40" s="53">
        <v>41.0</v>
      </c>
      <c r="G40" s="53">
        <v>6398.0</v>
      </c>
      <c r="H40" s="53">
        <v>40.0</v>
      </c>
      <c r="I40" s="53">
        <v>38.0</v>
      </c>
      <c r="J40" s="53">
        <v>43.0</v>
      </c>
      <c r="K40" s="53">
        <v>0.0</v>
      </c>
      <c r="L40" s="53">
        <v>54.0</v>
      </c>
      <c r="M40" s="53">
        <v>0.0</v>
      </c>
      <c r="N40" s="53">
        <v>0.0</v>
      </c>
      <c r="O40" s="53">
        <v>21144.0</v>
      </c>
      <c r="P40" s="53">
        <v>0.0</v>
      </c>
      <c r="Q40" s="53">
        <v>22030.0</v>
      </c>
      <c r="R40" s="53">
        <v>-1365.0</v>
      </c>
      <c r="S40" s="53">
        <v>0.0</v>
      </c>
      <c r="T40" s="53">
        <v>0.0</v>
      </c>
      <c r="U40" s="53">
        <v>0.0</v>
      </c>
      <c r="V40" s="53"/>
      <c r="W40" s="53"/>
      <c r="X40" s="5"/>
      <c r="Y40" s="5"/>
      <c r="Z40" s="5"/>
    </row>
    <row r="41" ht="15.75" customHeight="1">
      <c r="A41" s="41" t="s">
        <v>419</v>
      </c>
      <c r="B41" s="52" t="s">
        <v>420</v>
      </c>
      <c r="C41" s="53">
        <v>503.0</v>
      </c>
      <c r="D41" s="53">
        <v>882.0</v>
      </c>
      <c r="E41" s="53">
        <v>1752.0</v>
      </c>
      <c r="F41" s="53">
        <v>1099.0</v>
      </c>
      <c r="G41" s="53">
        <v>197.0</v>
      </c>
      <c r="H41" s="53">
        <v>1016.0</v>
      </c>
      <c r="I41" s="53">
        <v>444.0</v>
      </c>
      <c r="J41" s="53">
        <v>1412.0</v>
      </c>
      <c r="K41" s="53">
        <v>496.0</v>
      </c>
      <c r="L41" s="53">
        <v>718.0</v>
      </c>
      <c r="M41" s="53">
        <v>532.0</v>
      </c>
      <c r="N41" s="53">
        <v>1762.0</v>
      </c>
      <c r="O41" s="53">
        <v>7021.0</v>
      </c>
      <c r="P41" s="53">
        <v>1284.0</v>
      </c>
      <c r="Q41" s="53">
        <v>1531.0</v>
      </c>
      <c r="R41" s="53">
        <v>1676.0</v>
      </c>
      <c r="S41" s="53">
        <v>1442.0</v>
      </c>
      <c r="T41" s="53">
        <v>1107.3984600000003</v>
      </c>
      <c r="U41" s="53">
        <v>2188.0</v>
      </c>
      <c r="V41" s="53"/>
      <c r="W41" s="53"/>
      <c r="X41" s="5"/>
      <c r="Y41" s="5"/>
      <c r="Z41" s="5"/>
    </row>
    <row r="42" ht="15.75" customHeight="1">
      <c r="A42" s="41" t="s">
        <v>421</v>
      </c>
      <c r="B42" s="52" t="s">
        <v>422</v>
      </c>
      <c r="C42" s="53">
        <v>0.0</v>
      </c>
      <c r="D42" s="53">
        <v>0.0</v>
      </c>
      <c r="E42" s="53">
        <v>0.0</v>
      </c>
      <c r="F42" s="53">
        <v>0.0</v>
      </c>
      <c r="G42" s="53">
        <v>-4192.0</v>
      </c>
      <c r="H42" s="53">
        <v>-3491.0</v>
      </c>
      <c r="I42" s="53">
        <v>-4083.0</v>
      </c>
      <c r="J42" s="53">
        <v>-8315.0</v>
      </c>
      <c r="K42" s="53">
        <v>0.0</v>
      </c>
      <c r="L42" s="53">
        <v>-4532.0</v>
      </c>
      <c r="M42" s="53">
        <v>385.0</v>
      </c>
      <c r="N42" s="53">
        <v>-20689.0</v>
      </c>
      <c r="O42" s="53">
        <v>-26010.0</v>
      </c>
      <c r="P42" s="53">
        <v>0.0</v>
      </c>
      <c r="Q42" s="53">
        <v>-15399.0</v>
      </c>
      <c r="R42" s="53">
        <v>-5616.0</v>
      </c>
      <c r="S42" s="53">
        <v>-21389.0</v>
      </c>
      <c r="T42" s="53">
        <v>-2438.0</v>
      </c>
      <c r="U42" s="53">
        <v>-23173.0</v>
      </c>
      <c r="V42" s="53"/>
      <c r="W42" s="53"/>
      <c r="X42" s="5"/>
      <c r="Y42" s="5"/>
      <c r="Z42" s="5"/>
    </row>
    <row r="43" ht="15.75" customHeight="1">
      <c r="A43" s="41" t="s">
        <v>423</v>
      </c>
      <c r="B43" s="52" t="s">
        <v>424</v>
      </c>
      <c r="C43" s="53">
        <v>-193462.0</v>
      </c>
      <c r="D43" s="53">
        <v>-5162.0</v>
      </c>
      <c r="E43" s="53">
        <v>-7573.0</v>
      </c>
      <c r="F43" s="53">
        <v>-9209.0</v>
      </c>
      <c r="G43" s="53">
        <v>-7201.0</v>
      </c>
      <c r="H43" s="53">
        <v>-5926.0</v>
      </c>
      <c r="I43" s="53">
        <v>-18252.0</v>
      </c>
      <c r="J43" s="53">
        <v>-2403.0</v>
      </c>
      <c r="K43" s="53">
        <v>-5012.0</v>
      </c>
      <c r="L43" s="53">
        <v>235.0</v>
      </c>
      <c r="M43" s="53">
        <v>410000.0</v>
      </c>
      <c r="N43" s="53">
        <v>0.0</v>
      </c>
      <c r="O43" s="53">
        <v>0.0</v>
      </c>
      <c r="P43" s="53">
        <v>0.0</v>
      </c>
      <c r="Q43" s="53">
        <v>0.0</v>
      </c>
      <c r="R43" s="53">
        <v>0.0</v>
      </c>
      <c r="S43" s="53">
        <v>0.0</v>
      </c>
      <c r="T43" s="53">
        <v>0.0</v>
      </c>
      <c r="U43" s="53">
        <v>0.0</v>
      </c>
      <c r="V43" s="53"/>
      <c r="W43" s="53"/>
      <c r="X43" s="5"/>
      <c r="Y43" s="5"/>
      <c r="Z43" s="5"/>
    </row>
    <row r="44" ht="15.75" customHeight="1">
      <c r="A44" s="41" t="s">
        <v>425</v>
      </c>
      <c r="B44" s="52" t="s">
        <v>426</v>
      </c>
      <c r="C44" s="53">
        <v>0.0</v>
      </c>
      <c r="D44" s="53">
        <v>0.0</v>
      </c>
      <c r="E44" s="53">
        <v>0.0</v>
      </c>
      <c r="F44" s="53">
        <v>0.0</v>
      </c>
      <c r="G44" s="53">
        <v>0.0</v>
      </c>
      <c r="H44" s="53">
        <v>0.0</v>
      </c>
      <c r="I44" s="53">
        <v>0.0</v>
      </c>
      <c r="J44" s="53">
        <v>0.0</v>
      </c>
      <c r="K44" s="53">
        <v>0.0</v>
      </c>
      <c r="L44" s="53">
        <v>0.0</v>
      </c>
      <c r="M44" s="53">
        <v>0.0</v>
      </c>
      <c r="N44" s="53">
        <v>0.0</v>
      </c>
      <c r="O44" s="53">
        <v>1300.0</v>
      </c>
      <c r="P44" s="53">
        <v>644.0</v>
      </c>
      <c r="Q44" s="53">
        <v>798.0</v>
      </c>
      <c r="R44" s="53">
        <v>437.0</v>
      </c>
      <c r="S44" s="53">
        <v>-1619.0</v>
      </c>
      <c r="T44" s="53">
        <v>-125.0</v>
      </c>
      <c r="U44" s="53">
        <v>154.0</v>
      </c>
      <c r="V44" s="53"/>
      <c r="W44" s="53"/>
      <c r="X44" s="5"/>
      <c r="Y44" s="5"/>
      <c r="Z44" s="5"/>
    </row>
    <row r="45" ht="15.75" customHeight="1">
      <c r="A45" s="56" t="s">
        <v>402</v>
      </c>
      <c r="B45" s="57" t="s">
        <v>403</v>
      </c>
      <c r="C45" s="58">
        <f t="shared" ref="C45:U45" si="3">SUM(C34:C44)</f>
        <v>-235088</v>
      </c>
      <c r="D45" s="58">
        <f t="shared" si="3"/>
        <v>-1754971</v>
      </c>
      <c r="E45" s="58">
        <f t="shared" si="3"/>
        <v>-96974</v>
      </c>
      <c r="F45" s="58">
        <f t="shared" si="3"/>
        <v>-78107</v>
      </c>
      <c r="G45" s="58">
        <f t="shared" si="3"/>
        <v>-211631</v>
      </c>
      <c r="H45" s="58">
        <f t="shared" si="3"/>
        <v>-125807</v>
      </c>
      <c r="I45" s="58">
        <f t="shared" si="3"/>
        <v>-163568</v>
      </c>
      <c r="J45" s="58">
        <f t="shared" si="3"/>
        <v>-90147</v>
      </c>
      <c r="K45" s="58">
        <f t="shared" si="3"/>
        <v>-76810</v>
      </c>
      <c r="L45" s="58">
        <f t="shared" si="3"/>
        <v>-106518</v>
      </c>
      <c r="M45" s="58">
        <f t="shared" si="3"/>
        <v>246952</v>
      </c>
      <c r="N45" s="58">
        <f t="shared" si="3"/>
        <v>-67015</v>
      </c>
      <c r="O45" s="58">
        <f t="shared" si="3"/>
        <v>-649129</v>
      </c>
      <c r="P45" s="58">
        <f t="shared" si="3"/>
        <v>-375507</v>
      </c>
      <c r="Q45" s="58">
        <f t="shared" si="3"/>
        <v>-49701</v>
      </c>
      <c r="R45" s="58">
        <f t="shared" si="3"/>
        <v>-255594</v>
      </c>
      <c r="S45" s="58">
        <f t="shared" si="3"/>
        <v>-180292</v>
      </c>
      <c r="T45" s="58">
        <f t="shared" si="3"/>
        <v>-96401.60154</v>
      </c>
      <c r="U45" s="58">
        <f t="shared" si="3"/>
        <v>-259026</v>
      </c>
      <c r="V45" s="58"/>
      <c r="W45" s="58"/>
      <c r="X45" s="5"/>
      <c r="Y45" s="5"/>
      <c r="Z45" s="5"/>
    </row>
    <row r="46" ht="15.75" customHeight="1">
      <c r="A46" s="56"/>
      <c r="B46" s="57"/>
      <c r="C46" s="58"/>
      <c r="D46" s="58"/>
      <c r="E46" s="58"/>
      <c r="F46" s="58"/>
      <c r="G46" s="58"/>
      <c r="H46" s="58"/>
      <c r="I46" s="58"/>
      <c r="J46" s="58"/>
      <c r="K46" s="58"/>
      <c r="L46" s="58"/>
      <c r="M46" s="58"/>
      <c r="N46" s="58"/>
      <c r="O46" s="58"/>
      <c r="P46" s="58"/>
      <c r="Q46" s="58"/>
      <c r="R46" s="58"/>
      <c r="S46" s="58"/>
      <c r="T46" s="58"/>
      <c r="U46" s="58"/>
      <c r="V46" s="58"/>
      <c r="W46" s="58"/>
      <c r="X46" s="5"/>
      <c r="Y46" s="5"/>
      <c r="Z46" s="5"/>
    </row>
    <row r="47" ht="15.75" customHeight="1">
      <c r="A47" s="86" t="s">
        <v>427</v>
      </c>
      <c r="B47" s="87" t="s">
        <v>428</v>
      </c>
      <c r="C47" s="58"/>
      <c r="D47" s="58"/>
      <c r="E47" s="58"/>
      <c r="F47" s="58"/>
      <c r="G47" s="58"/>
      <c r="H47" s="58"/>
      <c r="I47" s="58"/>
      <c r="J47" s="58"/>
      <c r="K47" s="58"/>
      <c r="L47" s="58"/>
      <c r="M47" s="58"/>
      <c r="N47" s="58"/>
      <c r="O47" s="58"/>
      <c r="P47" s="58"/>
      <c r="Q47" s="58"/>
      <c r="R47" s="58"/>
      <c r="S47" s="58"/>
      <c r="T47" s="58"/>
      <c r="U47" s="58"/>
      <c r="V47" s="58"/>
      <c r="W47" s="58"/>
      <c r="X47" s="5"/>
      <c r="Y47" s="5"/>
      <c r="Z47" s="5"/>
    </row>
    <row r="48" ht="15.75" customHeight="1">
      <c r="A48" s="41" t="s">
        <v>429</v>
      </c>
      <c r="B48" s="52" t="s">
        <v>430</v>
      </c>
      <c r="C48" s="53">
        <v>-828.0</v>
      </c>
      <c r="D48" s="53">
        <v>0.0</v>
      </c>
      <c r="E48" s="53">
        <v>-3329.0</v>
      </c>
      <c r="F48" s="53">
        <v>0.0</v>
      </c>
      <c r="G48" s="53">
        <v>-5187.0</v>
      </c>
      <c r="H48" s="53">
        <v>-1553.0</v>
      </c>
      <c r="I48" s="53" t="s">
        <v>406</v>
      </c>
      <c r="J48" s="53">
        <v>-444.0</v>
      </c>
      <c r="K48" s="53">
        <v>-440.0</v>
      </c>
      <c r="L48" s="53">
        <v>-10517.0</v>
      </c>
      <c r="M48" s="53">
        <v>0.0</v>
      </c>
      <c r="N48" s="53">
        <v>0.0</v>
      </c>
      <c r="O48" s="53">
        <v>-35708.0</v>
      </c>
      <c r="P48" s="53">
        <v>-4664.0</v>
      </c>
      <c r="Q48" s="53">
        <v>0.0</v>
      </c>
      <c r="R48" s="53">
        <v>0.0</v>
      </c>
      <c r="S48" s="53">
        <v>0.0</v>
      </c>
      <c r="T48" s="53">
        <v>0.0</v>
      </c>
      <c r="U48" s="53">
        <v>-13116.0</v>
      </c>
      <c r="V48" s="53"/>
      <c r="W48" s="53"/>
      <c r="X48" s="5"/>
      <c r="Y48" s="5"/>
      <c r="Z48" s="5"/>
    </row>
    <row r="49" ht="15.75" customHeight="1">
      <c r="A49" s="41" t="s">
        <v>431</v>
      </c>
      <c r="B49" s="52" t="s">
        <v>432</v>
      </c>
      <c r="C49" s="53">
        <v>0.0</v>
      </c>
      <c r="D49" s="53">
        <v>0.0</v>
      </c>
      <c r="E49" s="53">
        <v>0.0</v>
      </c>
      <c r="F49" s="53">
        <v>0.0</v>
      </c>
      <c r="G49" s="53">
        <v>0.0</v>
      </c>
      <c r="H49" s="53">
        <v>0.0</v>
      </c>
      <c r="I49" s="53">
        <v>-1500000.0</v>
      </c>
      <c r="J49" s="53">
        <v>0.0</v>
      </c>
      <c r="K49" s="53">
        <v>0.0</v>
      </c>
      <c r="L49" s="53">
        <v>0.0</v>
      </c>
      <c r="M49" s="53">
        <v>0.0</v>
      </c>
      <c r="N49" s="53">
        <v>0.0</v>
      </c>
      <c r="O49" s="53">
        <v>0.0</v>
      </c>
      <c r="P49" s="53">
        <v>-5000.0</v>
      </c>
      <c r="Q49" s="53">
        <v>-1500000.0</v>
      </c>
      <c r="R49" s="53">
        <v>0.0</v>
      </c>
      <c r="S49" s="53">
        <v>0.0</v>
      </c>
      <c r="T49" s="53">
        <v>0.0</v>
      </c>
      <c r="U49" s="53">
        <v>-21237.0</v>
      </c>
      <c r="V49" s="53"/>
      <c r="W49" s="53"/>
      <c r="X49" s="5"/>
      <c r="Y49" s="5"/>
      <c r="Z49" s="5"/>
    </row>
    <row r="50" ht="15.75" customHeight="1">
      <c r="A50" s="41" t="s">
        <v>433</v>
      </c>
      <c r="B50" s="52" t="s">
        <v>434</v>
      </c>
      <c r="C50" s="53">
        <v>-8215.0</v>
      </c>
      <c r="D50" s="53">
        <v>-14781.0</v>
      </c>
      <c r="E50" s="53">
        <v>-9615.0</v>
      </c>
      <c r="F50" s="53">
        <v>-13162.0</v>
      </c>
      <c r="G50" s="53">
        <v>-8718.0</v>
      </c>
      <c r="H50" s="53">
        <v>-19152.0</v>
      </c>
      <c r="I50" s="53">
        <v>-13743.0</v>
      </c>
      <c r="J50" s="53">
        <v>-13882.0</v>
      </c>
      <c r="K50" s="53">
        <v>-13912.0</v>
      </c>
      <c r="L50" s="53">
        <v>-14859.0</v>
      </c>
      <c r="M50" s="53">
        <v>-15171.0</v>
      </c>
      <c r="N50" s="53">
        <v>-15112.0</v>
      </c>
      <c r="O50" s="53">
        <v>-15049.0</v>
      </c>
      <c r="P50" s="53">
        <v>-15016.0</v>
      </c>
      <c r="Q50" s="53">
        <v>-16743.0</v>
      </c>
      <c r="R50" s="53">
        <v>-13971.0</v>
      </c>
      <c r="S50" s="53">
        <v>-15378.0</v>
      </c>
      <c r="T50" s="53">
        <v>-22164.0</v>
      </c>
      <c r="U50" s="53">
        <v>-17158.0</v>
      </c>
      <c r="V50" s="53"/>
      <c r="W50" s="53"/>
      <c r="X50" s="5"/>
      <c r="Y50" s="5"/>
      <c r="Z50" s="5"/>
    </row>
    <row r="51" ht="15.75" customHeight="1">
      <c r="A51" s="41" t="s">
        <v>435</v>
      </c>
      <c r="B51" s="52" t="s">
        <v>436</v>
      </c>
      <c r="C51" s="53">
        <v>0.0</v>
      </c>
      <c r="D51" s="53">
        <v>1489369.0</v>
      </c>
      <c r="E51" s="53">
        <v>0.0</v>
      </c>
      <c r="F51" s="53">
        <v>0.0</v>
      </c>
      <c r="G51" s="53">
        <v>0.0</v>
      </c>
      <c r="H51" s="53">
        <v>0.0</v>
      </c>
      <c r="I51" s="53">
        <v>1488256.0</v>
      </c>
      <c r="J51" s="53">
        <v>0.0</v>
      </c>
      <c r="K51" s="53">
        <v>0.0</v>
      </c>
      <c r="L51" s="53">
        <v>0.0</v>
      </c>
      <c r="M51" s="53">
        <v>32083.0</v>
      </c>
      <c r="N51" s="53">
        <v>0.0</v>
      </c>
      <c r="O51" s="53">
        <v>0.0</v>
      </c>
      <c r="P51" s="53">
        <v>0.0</v>
      </c>
      <c r="Q51" s="53">
        <v>1474982.0</v>
      </c>
      <c r="R51" s="53">
        <v>0.0</v>
      </c>
      <c r="S51" s="53">
        <v>0.0</v>
      </c>
      <c r="T51" s="53">
        <v>0.0</v>
      </c>
      <c r="U51" s="53">
        <v>0.0</v>
      </c>
      <c r="V51" s="53"/>
      <c r="W51" s="53"/>
      <c r="X51" s="5"/>
      <c r="Y51" s="5"/>
      <c r="Z51" s="5"/>
    </row>
    <row r="52" ht="15.75" customHeight="1">
      <c r="A52" s="41" t="s">
        <v>437</v>
      </c>
      <c r="B52" s="52" t="s">
        <v>438</v>
      </c>
      <c r="C52" s="53">
        <v>0.0</v>
      </c>
      <c r="D52" s="53">
        <v>0.0</v>
      </c>
      <c r="E52" s="53">
        <v>1443173.0</v>
      </c>
      <c r="F52" s="53">
        <v>0.0</v>
      </c>
      <c r="G52" s="53">
        <v>0.0</v>
      </c>
      <c r="H52" s="53">
        <v>0.0</v>
      </c>
      <c r="I52" s="53" t="s">
        <v>406</v>
      </c>
      <c r="J52" s="53">
        <v>0.0</v>
      </c>
      <c r="K52" s="53">
        <v>0.0</v>
      </c>
      <c r="L52" s="53">
        <v>0.0</v>
      </c>
      <c r="M52" s="53">
        <v>0.0</v>
      </c>
      <c r="N52" s="53">
        <v>0.0</v>
      </c>
      <c r="O52" s="53">
        <v>0.0</v>
      </c>
      <c r="P52" s="53">
        <v>0.0</v>
      </c>
      <c r="Q52" s="53">
        <v>0.0</v>
      </c>
      <c r="R52" s="53">
        <v>0.0</v>
      </c>
      <c r="S52" s="53">
        <v>0.0</v>
      </c>
      <c r="T52" s="53">
        <v>0.0</v>
      </c>
      <c r="U52" s="53">
        <v>0.0</v>
      </c>
      <c r="V52" s="53"/>
      <c r="W52" s="53"/>
      <c r="X52" s="5"/>
      <c r="Y52" s="5"/>
      <c r="Z52" s="5"/>
    </row>
    <row r="53" ht="15.75" customHeight="1">
      <c r="A53" s="41" t="s">
        <v>439</v>
      </c>
      <c r="B53" s="52" t="s">
        <v>440</v>
      </c>
      <c r="C53" s="53">
        <v>0.0</v>
      </c>
      <c r="D53" s="53">
        <v>0.0</v>
      </c>
      <c r="E53" s="53">
        <v>0.0</v>
      </c>
      <c r="F53" s="53">
        <v>600073.0</v>
      </c>
      <c r="G53" s="53">
        <v>0.0</v>
      </c>
      <c r="H53" s="53">
        <v>0.0</v>
      </c>
      <c r="I53" s="53" t="s">
        <v>406</v>
      </c>
      <c r="J53" s="53">
        <v>0.0</v>
      </c>
      <c r="K53" s="53">
        <v>0.0</v>
      </c>
      <c r="L53" s="53">
        <v>4164.0</v>
      </c>
      <c r="M53" s="53">
        <v>0.0</v>
      </c>
      <c r="N53" s="53">
        <v>0.0</v>
      </c>
      <c r="O53" s="53">
        <v>0.0</v>
      </c>
      <c r="P53" s="53">
        <v>0.0</v>
      </c>
      <c r="Q53" s="53">
        <v>0.0</v>
      </c>
      <c r="R53" s="53">
        <v>0.0</v>
      </c>
      <c r="S53" s="53">
        <v>0.0</v>
      </c>
      <c r="T53" s="53">
        <v>0.0</v>
      </c>
      <c r="U53" s="53">
        <v>0.0</v>
      </c>
      <c r="V53" s="53"/>
      <c r="W53" s="53"/>
      <c r="X53" s="5"/>
      <c r="Y53" s="5"/>
      <c r="Z53" s="5"/>
    </row>
    <row r="54" ht="15.75" customHeight="1">
      <c r="A54" s="41" t="s">
        <v>441</v>
      </c>
      <c r="B54" s="52" t="s">
        <v>442</v>
      </c>
      <c r="C54" s="53">
        <v>0.0</v>
      </c>
      <c r="D54" s="53">
        <v>0.0</v>
      </c>
      <c r="E54" s="53">
        <v>-36115.0</v>
      </c>
      <c r="F54" s="53">
        <v>-4264.0</v>
      </c>
      <c r="G54" s="53">
        <v>-75.0</v>
      </c>
      <c r="H54" s="53">
        <v>0.0</v>
      </c>
      <c r="I54" s="53" t="s">
        <v>406</v>
      </c>
      <c r="J54" s="53">
        <v>0.0</v>
      </c>
      <c r="K54" s="53">
        <v>0.0</v>
      </c>
      <c r="L54" s="53">
        <v>0.0</v>
      </c>
      <c r="M54" s="53">
        <v>0.0</v>
      </c>
      <c r="N54" s="53">
        <v>0.0</v>
      </c>
      <c r="O54" s="53">
        <v>0.0</v>
      </c>
      <c r="P54" s="53">
        <v>0.0</v>
      </c>
      <c r="Q54" s="53">
        <v>0.0</v>
      </c>
      <c r="R54" s="53">
        <v>0.0</v>
      </c>
      <c r="S54" s="53">
        <v>0.0</v>
      </c>
      <c r="T54" s="53">
        <v>0.0</v>
      </c>
      <c r="U54" s="53">
        <v>0.0</v>
      </c>
      <c r="V54" s="53"/>
      <c r="W54" s="53"/>
      <c r="X54" s="5"/>
      <c r="Y54" s="5"/>
      <c r="Z54" s="5"/>
    </row>
    <row r="55" ht="15.75" customHeight="1">
      <c r="A55" s="41" t="s">
        <v>304</v>
      </c>
      <c r="B55" s="52" t="s">
        <v>443</v>
      </c>
      <c r="C55" s="53">
        <v>0.0</v>
      </c>
      <c r="D55" s="53">
        <v>0.0</v>
      </c>
      <c r="E55" s="53">
        <v>0.0</v>
      </c>
      <c r="F55" s="53">
        <v>0.0</v>
      </c>
      <c r="G55" s="53">
        <v>0.0</v>
      </c>
      <c r="H55" s="53">
        <v>0.0</v>
      </c>
      <c r="I55" s="53">
        <v>-678.0</v>
      </c>
      <c r="J55" s="53">
        <v>-227.0</v>
      </c>
      <c r="K55" s="53">
        <v>-230.0</v>
      </c>
      <c r="L55" s="53">
        <v>-6079.0</v>
      </c>
      <c r="M55" s="53">
        <v>6277.0</v>
      </c>
      <c r="N55" s="53">
        <v>32.0</v>
      </c>
      <c r="O55" s="53">
        <v>0.0</v>
      </c>
      <c r="P55" s="53">
        <v>0.0</v>
      </c>
      <c r="Q55" s="53">
        <v>0.0</v>
      </c>
      <c r="R55" s="53">
        <v>0.0</v>
      </c>
      <c r="S55" s="53">
        <v>0.0</v>
      </c>
      <c r="T55" s="53">
        <v>0.0</v>
      </c>
      <c r="U55" s="53">
        <v>0.0</v>
      </c>
      <c r="V55" s="53"/>
      <c r="W55" s="53"/>
      <c r="X55" s="5"/>
      <c r="Y55" s="5"/>
      <c r="Z55" s="5"/>
    </row>
    <row r="56" ht="15.75" customHeight="1">
      <c r="A56" s="41" t="s">
        <v>444</v>
      </c>
      <c r="B56" s="52" t="s">
        <v>445</v>
      </c>
      <c r="C56" s="53">
        <v>-6437.0</v>
      </c>
      <c r="D56" s="53">
        <v>-101170.0</v>
      </c>
      <c r="E56" s="53">
        <v>0.0</v>
      </c>
      <c r="F56" s="53">
        <v>-36027.0</v>
      </c>
      <c r="G56" s="53">
        <v>-9258.0</v>
      </c>
      <c r="H56" s="53">
        <v>-69704.0</v>
      </c>
      <c r="I56" s="53">
        <v>-61074.0</v>
      </c>
      <c r="J56" s="53">
        <v>0.0</v>
      </c>
      <c r="K56" s="53">
        <v>-127047.0</v>
      </c>
      <c r="L56" s="53">
        <v>-4165.0</v>
      </c>
      <c r="M56" s="53">
        <v>-138674.0</v>
      </c>
      <c r="N56" s="53">
        <v>-142277.0</v>
      </c>
      <c r="O56" s="53">
        <v>0.0</v>
      </c>
      <c r="P56" s="53">
        <v>0.0</v>
      </c>
      <c r="Q56" s="53">
        <v>-136626.0</v>
      </c>
      <c r="R56" s="53">
        <v>-128726.0</v>
      </c>
      <c r="S56" s="53">
        <v>0.0</v>
      </c>
      <c r="T56" s="53">
        <v>-81924.0</v>
      </c>
      <c r="U56" s="53">
        <v>-88036.0</v>
      </c>
      <c r="V56" s="53"/>
      <c r="W56" s="53"/>
      <c r="X56" s="5"/>
      <c r="Y56" s="5"/>
      <c r="Z56" s="5"/>
    </row>
    <row r="57" ht="15.75" customHeight="1">
      <c r="A57" s="41" t="s">
        <v>446</v>
      </c>
      <c r="B57" s="52" t="s">
        <v>447</v>
      </c>
      <c r="C57" s="53">
        <v>0.0</v>
      </c>
      <c r="D57" s="53">
        <v>0.0</v>
      </c>
      <c r="E57" s="53">
        <v>0.0</v>
      </c>
      <c r="F57" s="53">
        <v>0.0</v>
      </c>
      <c r="G57" s="53">
        <v>0.0</v>
      </c>
      <c r="H57" s="53">
        <v>-108967.0</v>
      </c>
      <c r="I57" s="53" t="s">
        <v>406</v>
      </c>
      <c r="J57" s="53">
        <v>0.0</v>
      </c>
      <c r="K57" s="53">
        <v>-109392.0</v>
      </c>
      <c r="L57" s="53">
        <v>0.0</v>
      </c>
      <c r="M57" s="53">
        <v>0.0</v>
      </c>
      <c r="N57" s="53">
        <v>0.0</v>
      </c>
      <c r="O57" s="53">
        <v>-64091.0</v>
      </c>
      <c r="P57" s="53">
        <v>-248327.0</v>
      </c>
      <c r="Q57" s="53">
        <v>-42667.0</v>
      </c>
      <c r="R57" s="53">
        <v>-216283.0</v>
      </c>
      <c r="S57" s="53">
        <v>0.0</v>
      </c>
      <c r="T57" s="53">
        <v>0.0</v>
      </c>
      <c r="U57" s="53">
        <v>0.0</v>
      </c>
      <c r="V57" s="53"/>
      <c r="W57" s="53"/>
      <c r="X57" s="5"/>
      <c r="Y57" s="5"/>
      <c r="Z57" s="5"/>
    </row>
    <row r="58" ht="15.75" customHeight="1">
      <c r="A58" s="56" t="s">
        <v>427</v>
      </c>
      <c r="B58" s="57" t="s">
        <v>448</v>
      </c>
      <c r="C58" s="58">
        <f t="shared" ref="C58:U58" si="4">SUM(C48:C57)</f>
        <v>-15480</v>
      </c>
      <c r="D58" s="58">
        <f t="shared" si="4"/>
        <v>1373418</v>
      </c>
      <c r="E58" s="58">
        <f t="shared" si="4"/>
        <v>1394114</v>
      </c>
      <c r="F58" s="58">
        <f t="shared" si="4"/>
        <v>546620</v>
      </c>
      <c r="G58" s="58">
        <f t="shared" si="4"/>
        <v>-23238</v>
      </c>
      <c r="H58" s="58">
        <f t="shared" si="4"/>
        <v>-199376</v>
      </c>
      <c r="I58" s="58">
        <f t="shared" si="4"/>
        <v>-87239</v>
      </c>
      <c r="J58" s="58">
        <f t="shared" si="4"/>
        <v>-14553</v>
      </c>
      <c r="K58" s="58">
        <f t="shared" si="4"/>
        <v>-251021</v>
      </c>
      <c r="L58" s="58">
        <f t="shared" si="4"/>
        <v>-31456</v>
      </c>
      <c r="M58" s="58">
        <f t="shared" si="4"/>
        <v>-115485</v>
      </c>
      <c r="N58" s="58">
        <f t="shared" si="4"/>
        <v>-157357</v>
      </c>
      <c r="O58" s="58">
        <f t="shared" si="4"/>
        <v>-114848</v>
      </c>
      <c r="P58" s="58">
        <f t="shared" si="4"/>
        <v>-273007</v>
      </c>
      <c r="Q58" s="58">
        <f t="shared" si="4"/>
        <v>-221054</v>
      </c>
      <c r="R58" s="58">
        <f t="shared" si="4"/>
        <v>-358980</v>
      </c>
      <c r="S58" s="58">
        <f t="shared" si="4"/>
        <v>-15378</v>
      </c>
      <c r="T58" s="58">
        <f t="shared" si="4"/>
        <v>-104088</v>
      </c>
      <c r="U58" s="58">
        <f t="shared" si="4"/>
        <v>-139547</v>
      </c>
      <c r="V58" s="58"/>
      <c r="W58" s="58"/>
      <c r="X58" s="5"/>
      <c r="Y58" s="5"/>
      <c r="Z58" s="5"/>
    </row>
    <row r="59" ht="15.75" customHeight="1">
      <c r="A59" s="56"/>
      <c r="B59" s="57"/>
      <c r="C59" s="58"/>
      <c r="D59" s="58"/>
      <c r="E59" s="58"/>
      <c r="F59" s="58"/>
      <c r="G59" s="58"/>
      <c r="H59" s="58"/>
      <c r="I59" s="58"/>
      <c r="J59" s="58"/>
      <c r="K59" s="58"/>
      <c r="L59" s="58"/>
      <c r="M59" s="58"/>
      <c r="N59" s="58"/>
      <c r="O59" s="58"/>
      <c r="P59" s="58"/>
      <c r="Q59" s="58"/>
      <c r="R59" s="58"/>
      <c r="S59" s="58"/>
      <c r="T59" s="58"/>
      <c r="U59" s="58"/>
      <c r="V59" s="58"/>
      <c r="W59" s="58"/>
      <c r="X59" s="5"/>
      <c r="Y59" s="5"/>
      <c r="Z59" s="5"/>
    </row>
    <row r="60" ht="15.75" customHeight="1">
      <c r="A60" s="56" t="s">
        <v>449</v>
      </c>
      <c r="B60" s="57" t="s">
        <v>450</v>
      </c>
      <c r="C60" s="58">
        <f t="shared" ref="C60:U60" si="5">SUM(C31,C45,C58)</f>
        <v>-141625</v>
      </c>
      <c r="D60" s="58">
        <f t="shared" si="5"/>
        <v>-240445</v>
      </c>
      <c r="E60" s="58">
        <f t="shared" si="5"/>
        <v>1428203</v>
      </c>
      <c r="F60" s="58">
        <f t="shared" si="5"/>
        <v>661898</v>
      </c>
      <c r="G60" s="58">
        <f t="shared" si="5"/>
        <v>-30874</v>
      </c>
      <c r="H60" s="58">
        <f t="shared" si="5"/>
        <v>-137836</v>
      </c>
      <c r="I60" s="58">
        <f t="shared" si="5"/>
        <v>-26002</v>
      </c>
      <c r="J60" s="58">
        <f t="shared" si="5"/>
        <v>194713</v>
      </c>
      <c r="K60" s="58">
        <f t="shared" si="5"/>
        <v>-199701</v>
      </c>
      <c r="L60" s="58">
        <f t="shared" si="5"/>
        <v>184247</v>
      </c>
      <c r="M60" s="58">
        <f t="shared" si="5"/>
        <v>336415</v>
      </c>
      <c r="N60" s="58">
        <f t="shared" si="5"/>
        <v>72436</v>
      </c>
      <c r="O60" s="58">
        <f t="shared" si="5"/>
        <v>-581046</v>
      </c>
      <c r="P60" s="58">
        <f t="shared" si="5"/>
        <v>-342891</v>
      </c>
      <c r="Q60" s="58">
        <f t="shared" si="5"/>
        <v>-50400</v>
      </c>
      <c r="R60" s="58">
        <f t="shared" si="5"/>
        <v>-212663</v>
      </c>
      <c r="S60" s="58">
        <f t="shared" si="5"/>
        <v>878</v>
      </c>
      <c r="T60" s="58">
        <f t="shared" si="5"/>
        <v>151200</v>
      </c>
      <c r="U60" s="58">
        <f t="shared" si="5"/>
        <v>-88511</v>
      </c>
      <c r="V60" s="58"/>
      <c r="W60" s="58"/>
      <c r="X60" s="5"/>
      <c r="Y60" s="5"/>
      <c r="Z60" s="5"/>
    </row>
    <row r="61" ht="15.75" customHeight="1">
      <c r="A61" s="41"/>
      <c r="B61" s="52"/>
      <c r="C61" s="58"/>
      <c r="D61" s="58"/>
      <c r="E61" s="58"/>
      <c r="F61" s="58"/>
      <c r="G61" s="58"/>
      <c r="H61" s="58"/>
      <c r="I61" s="58"/>
      <c r="J61" s="58"/>
      <c r="K61" s="58"/>
      <c r="L61" s="58"/>
      <c r="M61" s="58"/>
      <c r="N61" s="58"/>
      <c r="O61" s="58"/>
      <c r="P61" s="58"/>
      <c r="Q61" s="58"/>
      <c r="R61" s="58"/>
      <c r="S61" s="58"/>
      <c r="T61" s="58"/>
      <c r="U61" s="58"/>
      <c r="V61" s="58"/>
      <c r="W61" s="58"/>
      <c r="X61" s="5"/>
      <c r="Y61" s="5"/>
      <c r="Z61" s="5"/>
    </row>
    <row r="62" ht="15.75" customHeight="1">
      <c r="A62" s="56" t="s">
        <v>451</v>
      </c>
      <c r="B62" s="57" t="s">
        <v>452</v>
      </c>
      <c r="C62" s="58">
        <v>1027733.0</v>
      </c>
      <c r="D62" s="58">
        <f t="shared" ref="D62:U62" si="6">ROUND(C63,0)</f>
        <v>886108</v>
      </c>
      <c r="E62" s="58">
        <f t="shared" si="6"/>
        <v>645663</v>
      </c>
      <c r="F62" s="58">
        <f t="shared" si="6"/>
        <v>2073866</v>
      </c>
      <c r="G62" s="58">
        <f t="shared" si="6"/>
        <v>2735764</v>
      </c>
      <c r="H62" s="58">
        <f t="shared" si="6"/>
        <v>2704890</v>
      </c>
      <c r="I62" s="58">
        <f t="shared" si="6"/>
        <v>2567054</v>
      </c>
      <c r="J62" s="58">
        <f t="shared" si="6"/>
        <v>2541052</v>
      </c>
      <c r="K62" s="58">
        <f t="shared" si="6"/>
        <v>2735765</v>
      </c>
      <c r="L62" s="58">
        <f t="shared" si="6"/>
        <v>2536064</v>
      </c>
      <c r="M62" s="58">
        <f t="shared" si="6"/>
        <v>2720311</v>
      </c>
      <c r="N62" s="58">
        <f t="shared" si="6"/>
        <v>3056726</v>
      </c>
      <c r="O62" s="58">
        <f t="shared" si="6"/>
        <v>3129162</v>
      </c>
      <c r="P62" s="58">
        <f t="shared" si="6"/>
        <v>2548116</v>
      </c>
      <c r="Q62" s="58">
        <f t="shared" si="6"/>
        <v>2205225</v>
      </c>
      <c r="R62" s="58">
        <f t="shared" si="6"/>
        <v>2154825</v>
      </c>
      <c r="S62" s="58">
        <f t="shared" si="6"/>
        <v>1942162</v>
      </c>
      <c r="T62" s="58">
        <f t="shared" si="6"/>
        <v>1943040</v>
      </c>
      <c r="U62" s="58">
        <f t="shared" si="6"/>
        <v>2094240</v>
      </c>
      <c r="V62" s="58"/>
      <c r="W62" s="58"/>
      <c r="X62" s="5"/>
      <c r="Y62" s="5"/>
      <c r="Z62" s="5"/>
    </row>
    <row r="63" ht="16.5" customHeight="1">
      <c r="A63" s="56" t="s">
        <v>453</v>
      </c>
      <c r="B63" s="57" t="s">
        <v>454</v>
      </c>
      <c r="C63" s="58">
        <f t="shared" ref="C63:U63" si="7">C62+C60</f>
        <v>886108</v>
      </c>
      <c r="D63" s="58">
        <f t="shared" si="7"/>
        <v>645663</v>
      </c>
      <c r="E63" s="58">
        <f t="shared" si="7"/>
        <v>2073866</v>
      </c>
      <c r="F63" s="58">
        <f t="shared" si="7"/>
        <v>2735764</v>
      </c>
      <c r="G63" s="58">
        <f t="shared" si="7"/>
        <v>2704890</v>
      </c>
      <c r="H63" s="58">
        <f t="shared" si="7"/>
        <v>2567054</v>
      </c>
      <c r="I63" s="58">
        <f t="shared" si="7"/>
        <v>2541052</v>
      </c>
      <c r="J63" s="58">
        <f t="shared" si="7"/>
        <v>2735765</v>
      </c>
      <c r="K63" s="58">
        <f t="shared" si="7"/>
        <v>2536064</v>
      </c>
      <c r="L63" s="58">
        <f t="shared" si="7"/>
        <v>2720311</v>
      </c>
      <c r="M63" s="58">
        <f t="shared" si="7"/>
        <v>3056726</v>
      </c>
      <c r="N63" s="58">
        <f t="shared" si="7"/>
        <v>3129162</v>
      </c>
      <c r="O63" s="58">
        <f t="shared" si="7"/>
        <v>2548116</v>
      </c>
      <c r="P63" s="58">
        <f t="shared" si="7"/>
        <v>2205225</v>
      </c>
      <c r="Q63" s="58">
        <f t="shared" si="7"/>
        <v>2154825</v>
      </c>
      <c r="R63" s="58">
        <f t="shared" si="7"/>
        <v>1942162</v>
      </c>
      <c r="S63" s="58">
        <f t="shared" si="7"/>
        <v>1943040</v>
      </c>
      <c r="T63" s="58">
        <f t="shared" si="7"/>
        <v>2094240</v>
      </c>
      <c r="U63" s="58">
        <f t="shared" si="7"/>
        <v>2005729</v>
      </c>
      <c r="V63" s="58"/>
      <c r="W63" s="58"/>
      <c r="X63" s="5"/>
      <c r="Y63" s="5"/>
      <c r="Z63" s="5"/>
    </row>
    <row r="64" ht="16.5" customHeight="1">
      <c r="A64" s="41"/>
      <c r="B64" s="52"/>
      <c r="C64" s="84"/>
      <c r="D64" s="84"/>
      <c r="E64" s="41"/>
      <c r="F64" s="41"/>
      <c r="G64" s="41"/>
      <c r="H64" s="41"/>
      <c r="I64" s="41"/>
      <c r="J64" s="41"/>
      <c r="K64" s="41"/>
      <c r="L64" s="41"/>
      <c r="M64" s="41"/>
      <c r="N64" s="41"/>
      <c r="O64" s="41"/>
      <c r="P64" s="41"/>
      <c r="Q64" s="41"/>
      <c r="R64" s="41"/>
      <c r="S64" s="41"/>
      <c r="T64" s="41"/>
      <c r="U64" s="41"/>
      <c r="V64" s="41"/>
      <c r="W64" s="41"/>
      <c r="X64" s="5"/>
      <c r="Y64" s="5"/>
      <c r="Z64" s="5"/>
    </row>
    <row r="65" ht="16.5" customHeight="1">
      <c r="A65" s="41" t="s">
        <v>455</v>
      </c>
      <c r="B65" s="52" t="s">
        <v>456</v>
      </c>
      <c r="C65" s="53">
        <v>0.0</v>
      </c>
      <c r="D65" s="53">
        <v>0.0</v>
      </c>
      <c r="E65" s="53">
        <v>0.0</v>
      </c>
      <c r="F65" s="53">
        <v>0.0</v>
      </c>
      <c r="G65" s="53">
        <v>75280.0</v>
      </c>
      <c r="H65" s="53">
        <v>80852.0</v>
      </c>
      <c r="I65" s="53">
        <v>90545.0</v>
      </c>
      <c r="J65" s="53">
        <v>88598.0</v>
      </c>
      <c r="K65" s="53">
        <v>63023.0</v>
      </c>
      <c r="L65" s="53">
        <v>79920.0</v>
      </c>
      <c r="M65" s="53">
        <v>93287.0</v>
      </c>
      <c r="N65" s="53">
        <v>84499.0</v>
      </c>
      <c r="O65" s="53">
        <v>78470.0</v>
      </c>
      <c r="P65" s="53">
        <v>58553.0</v>
      </c>
      <c r="Q65" s="53">
        <v>59669.0</v>
      </c>
      <c r="R65" s="53">
        <v>56330.0</v>
      </c>
      <c r="S65" s="53">
        <v>59234.0</v>
      </c>
      <c r="T65" s="53">
        <v>65439.0</v>
      </c>
      <c r="U65" s="53">
        <v>73293.0</v>
      </c>
      <c r="V65" s="53"/>
      <c r="W65" s="53"/>
      <c r="X65" s="5"/>
      <c r="Y65" s="5"/>
      <c r="Z65" s="5"/>
    </row>
    <row r="66" ht="16.5" customHeight="1">
      <c r="A66" s="41" t="s">
        <v>457</v>
      </c>
      <c r="B66" s="52" t="s">
        <v>458</v>
      </c>
      <c r="C66" s="53"/>
      <c r="D66" s="53"/>
      <c r="E66" s="53"/>
      <c r="F66" s="53"/>
      <c r="G66" s="53">
        <v>0.0</v>
      </c>
      <c r="H66" s="53">
        <v>0.0</v>
      </c>
      <c r="I66" s="53">
        <v>0.0</v>
      </c>
      <c r="J66" s="53">
        <v>0.0</v>
      </c>
      <c r="K66" s="53">
        <v>0.0</v>
      </c>
      <c r="L66" s="53">
        <v>0.0</v>
      </c>
      <c r="M66" s="53">
        <v>30229.0</v>
      </c>
      <c r="N66" s="53">
        <v>0.0</v>
      </c>
      <c r="O66" s="53">
        <v>0.0</v>
      </c>
      <c r="P66" s="53">
        <v>0.0</v>
      </c>
      <c r="Q66" s="53">
        <v>0.0</v>
      </c>
      <c r="R66" s="53">
        <v>0.0</v>
      </c>
      <c r="S66" s="53">
        <v>0.0</v>
      </c>
      <c r="T66" s="53">
        <v>0.0</v>
      </c>
      <c r="U66" s="53">
        <v>0.0</v>
      </c>
      <c r="V66" s="53"/>
      <c r="W66" s="53"/>
      <c r="X66" s="5"/>
      <c r="Y66" s="5"/>
      <c r="Z66" s="5"/>
    </row>
    <row r="67" ht="16.5" customHeight="1">
      <c r="A67" s="56" t="s">
        <v>459</v>
      </c>
      <c r="B67" s="57" t="s">
        <v>460</v>
      </c>
      <c r="C67" s="58">
        <f t="shared" ref="C67:U67" si="8">C27+C30+C35+C36+C41+C50-C65+C66</f>
        <v>84760</v>
      </c>
      <c r="D67" s="58">
        <f t="shared" si="8"/>
        <v>103880</v>
      </c>
      <c r="E67" s="58">
        <f t="shared" si="8"/>
        <v>51490</v>
      </c>
      <c r="F67" s="58">
        <f t="shared" si="8"/>
        <v>182057</v>
      </c>
      <c r="G67" s="58">
        <f t="shared" si="8"/>
        <v>98966</v>
      </c>
      <c r="H67" s="58">
        <f t="shared" si="8"/>
        <v>140146</v>
      </c>
      <c r="I67" s="58">
        <f t="shared" si="8"/>
        <v>139741</v>
      </c>
      <c r="J67" s="58">
        <f t="shared" si="8"/>
        <v>144273</v>
      </c>
      <c r="K67" s="58">
        <f t="shared" si="8"/>
        <v>93620</v>
      </c>
      <c r="L67" s="58">
        <f t="shared" si="8"/>
        <v>186395</v>
      </c>
      <c r="M67" s="58">
        <f t="shared" si="8"/>
        <v>118067</v>
      </c>
      <c r="N67" s="58">
        <f t="shared" si="8"/>
        <v>155700</v>
      </c>
      <c r="O67" s="58">
        <f t="shared" si="8"/>
        <v>134622</v>
      </c>
      <c r="P67" s="58">
        <f t="shared" si="8"/>
        <v>156531</v>
      </c>
      <c r="Q67" s="58">
        <f t="shared" si="8"/>
        <v>181728</v>
      </c>
      <c r="R67" s="58">
        <f t="shared" si="8"/>
        <v>271876</v>
      </c>
      <c r="S67" s="58">
        <f t="shared" si="8"/>
        <v>129451</v>
      </c>
      <c r="T67" s="58">
        <f t="shared" si="8"/>
        <v>195877</v>
      </c>
      <c r="U67" s="58">
        <f t="shared" si="8"/>
        <v>280481</v>
      </c>
      <c r="V67" s="58"/>
      <c r="W67" s="58"/>
      <c r="X67" s="5"/>
      <c r="Y67" s="5"/>
      <c r="Z67" s="5"/>
    </row>
    <row r="68" ht="16.5" customHeight="1">
      <c r="A68" s="41"/>
      <c r="B68" s="41"/>
      <c r="C68" s="41"/>
      <c r="D68" s="41"/>
      <c r="E68" s="41"/>
      <c r="F68" s="41"/>
      <c r="G68" s="41"/>
      <c r="H68" s="41"/>
      <c r="I68" s="41"/>
      <c r="J68" s="41"/>
      <c r="K68" s="41"/>
      <c r="L68" s="41"/>
      <c r="M68" s="41"/>
      <c r="N68" s="41"/>
      <c r="O68" s="41"/>
      <c r="P68" s="41"/>
      <c r="Q68" s="41"/>
      <c r="R68" s="41"/>
      <c r="S68" s="41"/>
      <c r="T68" s="41"/>
      <c r="U68" s="41"/>
      <c r="V68" s="41"/>
      <c r="W68" s="41"/>
      <c r="X68" s="5"/>
      <c r="Y68" s="5"/>
      <c r="Z68" s="5"/>
    </row>
    <row r="69" ht="16.5" customHeight="1">
      <c r="A69" s="41"/>
      <c r="B69" s="41"/>
      <c r="C69" s="41"/>
      <c r="D69" s="41"/>
      <c r="E69" s="41"/>
      <c r="F69" s="41"/>
      <c r="G69" s="41"/>
      <c r="H69" s="41"/>
      <c r="I69" s="41"/>
      <c r="J69" s="41"/>
      <c r="K69" s="41"/>
      <c r="L69" s="41"/>
      <c r="M69" s="41"/>
      <c r="N69" s="40"/>
      <c r="O69" s="40"/>
      <c r="P69" s="40"/>
      <c r="Q69" s="40"/>
      <c r="R69" s="40"/>
      <c r="S69" s="40"/>
      <c r="T69" s="40"/>
      <c r="U69" s="40"/>
      <c r="V69" s="40"/>
      <c r="W69" s="40"/>
      <c r="X69" s="5"/>
      <c r="Y69" s="5"/>
      <c r="Z69" s="5"/>
    </row>
    <row r="70" ht="16.5" customHeight="1">
      <c r="A70" s="41"/>
      <c r="B70" s="41"/>
      <c r="C70" s="41"/>
      <c r="D70" s="41"/>
      <c r="E70" s="41"/>
      <c r="F70" s="41"/>
      <c r="G70" s="41"/>
      <c r="H70" s="41"/>
      <c r="I70" s="41"/>
      <c r="J70" s="41"/>
      <c r="K70" s="41"/>
      <c r="L70" s="41"/>
      <c r="M70" s="41"/>
      <c r="N70" s="41"/>
      <c r="O70" s="41"/>
      <c r="P70" s="41"/>
      <c r="Q70" s="41"/>
      <c r="R70" s="41"/>
      <c r="S70" s="41"/>
      <c r="T70" s="41"/>
      <c r="U70" s="41"/>
      <c r="V70" s="41"/>
      <c r="W70" s="41"/>
      <c r="X70" s="5"/>
      <c r="Y70" s="5"/>
      <c r="Z70" s="5"/>
    </row>
    <row r="71" ht="16.5" customHeight="1">
      <c r="A71" s="41"/>
      <c r="B71" s="41"/>
      <c r="C71" s="41"/>
      <c r="D71" s="41"/>
      <c r="E71" s="41"/>
      <c r="F71" s="41"/>
      <c r="G71" s="41"/>
      <c r="H71" s="41"/>
      <c r="I71" s="41"/>
      <c r="J71" s="41"/>
      <c r="K71" s="41"/>
      <c r="L71" s="41"/>
      <c r="M71" s="41"/>
      <c r="N71" s="41"/>
      <c r="O71" s="41"/>
      <c r="P71" s="41"/>
      <c r="Q71" s="41"/>
      <c r="R71" s="41"/>
      <c r="S71" s="41"/>
      <c r="T71" s="41"/>
      <c r="U71" s="41"/>
      <c r="V71" s="41"/>
      <c r="W71" s="41"/>
      <c r="X71" s="5"/>
      <c r="Y71" s="5"/>
      <c r="Z71" s="5"/>
    </row>
    <row r="72" ht="16.5" customHeight="1">
      <c r="A72" s="41"/>
      <c r="B72" s="41"/>
      <c r="C72" s="41"/>
      <c r="D72" s="41"/>
      <c r="E72" s="41"/>
      <c r="F72" s="41"/>
      <c r="G72" s="41"/>
      <c r="H72" s="41"/>
      <c r="I72" s="41"/>
      <c r="J72" s="41"/>
      <c r="K72" s="41"/>
      <c r="L72" s="41"/>
      <c r="M72" s="41"/>
      <c r="N72" s="41"/>
      <c r="O72" s="41"/>
      <c r="P72" s="41"/>
      <c r="Q72" s="41"/>
      <c r="R72" s="41"/>
      <c r="S72" s="41"/>
      <c r="T72" s="41"/>
      <c r="U72" s="41"/>
      <c r="V72" s="41"/>
      <c r="W72" s="41"/>
      <c r="X72" s="5"/>
      <c r="Y72" s="5"/>
      <c r="Z72" s="5"/>
    </row>
    <row r="73" ht="16.5" customHeight="1">
      <c r="A73" s="41"/>
      <c r="B73" s="41"/>
      <c r="C73" s="41"/>
      <c r="D73" s="41"/>
      <c r="E73" s="41"/>
      <c r="F73" s="41"/>
      <c r="G73" s="41"/>
      <c r="H73" s="41"/>
      <c r="I73" s="41"/>
      <c r="J73" s="41"/>
      <c r="K73" s="41"/>
      <c r="L73" s="41"/>
      <c r="M73" s="41"/>
      <c r="N73" s="41"/>
      <c r="O73" s="41"/>
      <c r="P73" s="41"/>
      <c r="Q73" s="41"/>
      <c r="R73" s="41"/>
      <c r="S73" s="41"/>
      <c r="T73" s="41"/>
      <c r="U73" s="41"/>
      <c r="V73" s="41"/>
      <c r="W73" s="41"/>
      <c r="X73" s="5"/>
      <c r="Y73" s="5"/>
      <c r="Z73" s="5"/>
    </row>
    <row r="74" ht="16.5" customHeight="1">
      <c r="A74" s="41"/>
      <c r="B74" s="41"/>
      <c r="C74" s="41"/>
      <c r="D74" s="41"/>
      <c r="E74" s="41"/>
      <c r="F74" s="41"/>
      <c r="G74" s="41"/>
      <c r="H74" s="41"/>
      <c r="I74" s="41"/>
      <c r="J74" s="41"/>
      <c r="K74" s="41"/>
      <c r="L74" s="41"/>
      <c r="M74" s="41"/>
      <c r="N74" s="41"/>
      <c r="O74" s="41"/>
      <c r="P74" s="41"/>
      <c r="Q74" s="41"/>
      <c r="R74" s="41"/>
      <c r="S74" s="41"/>
      <c r="T74" s="41"/>
      <c r="U74" s="41"/>
      <c r="V74" s="41"/>
      <c r="W74" s="41"/>
      <c r="X74" s="5"/>
      <c r="Y74" s="5"/>
      <c r="Z74" s="5"/>
    </row>
    <row r="75" ht="16.5" customHeight="1">
      <c r="A75" s="41"/>
      <c r="B75" s="41"/>
      <c r="C75" s="41"/>
      <c r="D75" s="41"/>
      <c r="E75" s="41"/>
      <c r="F75" s="41"/>
      <c r="G75" s="41"/>
      <c r="H75" s="41"/>
      <c r="I75" s="41"/>
      <c r="J75" s="41"/>
      <c r="K75" s="41"/>
      <c r="L75" s="41"/>
      <c r="M75" s="41"/>
      <c r="N75" s="41"/>
      <c r="O75" s="41"/>
      <c r="P75" s="41"/>
      <c r="Q75" s="41"/>
      <c r="R75" s="41"/>
      <c r="S75" s="41"/>
      <c r="T75" s="41"/>
      <c r="U75" s="41"/>
      <c r="V75" s="41"/>
      <c r="W75" s="41"/>
      <c r="X75" s="5"/>
      <c r="Y75" s="5"/>
      <c r="Z75" s="5"/>
    </row>
    <row r="76" ht="16.5" customHeight="1">
      <c r="A76" s="41"/>
      <c r="B76" s="41"/>
      <c r="C76" s="41"/>
      <c r="D76" s="41"/>
      <c r="E76" s="41"/>
      <c r="F76" s="41"/>
      <c r="G76" s="41"/>
      <c r="H76" s="41"/>
      <c r="I76" s="41"/>
      <c r="J76" s="41"/>
      <c r="K76" s="41"/>
      <c r="L76" s="41"/>
      <c r="M76" s="41"/>
      <c r="N76" s="41"/>
      <c r="O76" s="41"/>
      <c r="P76" s="41"/>
      <c r="Q76" s="41"/>
      <c r="R76" s="41"/>
      <c r="S76" s="41"/>
      <c r="T76" s="41"/>
      <c r="U76" s="41"/>
      <c r="V76" s="41"/>
      <c r="W76" s="41"/>
      <c r="X76" s="5"/>
      <c r="Y76" s="5"/>
      <c r="Z76" s="5"/>
    </row>
    <row r="77" ht="16.5" customHeight="1">
      <c r="A77" s="41"/>
      <c r="B77" s="41"/>
      <c r="C77" s="41"/>
      <c r="D77" s="41"/>
      <c r="E77" s="41"/>
      <c r="F77" s="41"/>
      <c r="G77" s="41"/>
      <c r="H77" s="41"/>
      <c r="I77" s="41"/>
      <c r="J77" s="41"/>
      <c r="K77" s="41"/>
      <c r="L77" s="41"/>
      <c r="M77" s="41"/>
      <c r="N77" s="41"/>
      <c r="O77" s="41"/>
      <c r="P77" s="41"/>
      <c r="Q77" s="41"/>
      <c r="R77" s="41"/>
      <c r="S77" s="41"/>
      <c r="T77" s="41"/>
      <c r="U77" s="41"/>
      <c r="V77" s="41"/>
      <c r="W77" s="41"/>
      <c r="X77" s="5"/>
      <c r="Y77" s="5"/>
      <c r="Z77" s="5"/>
    </row>
    <row r="78" ht="16.5" customHeight="1">
      <c r="A78" s="41"/>
      <c r="B78" s="41"/>
      <c r="C78" s="41"/>
      <c r="D78" s="41"/>
      <c r="E78" s="41"/>
      <c r="F78" s="41"/>
      <c r="G78" s="41"/>
      <c r="H78" s="41"/>
      <c r="I78" s="41"/>
      <c r="J78" s="41"/>
      <c r="K78" s="41"/>
      <c r="L78" s="41"/>
      <c r="M78" s="41"/>
      <c r="N78" s="41"/>
      <c r="O78" s="41"/>
      <c r="P78" s="41"/>
      <c r="Q78" s="41"/>
      <c r="R78" s="41"/>
      <c r="S78" s="41"/>
      <c r="T78" s="41"/>
      <c r="U78" s="41"/>
      <c r="V78" s="41"/>
      <c r="W78" s="41"/>
      <c r="X78" s="5"/>
      <c r="Y78" s="5"/>
      <c r="Z78" s="5"/>
    </row>
    <row r="79" ht="16.5" customHeight="1">
      <c r="A79" s="41"/>
      <c r="B79" s="41"/>
      <c r="C79" s="41"/>
      <c r="D79" s="41"/>
      <c r="E79" s="41"/>
      <c r="F79" s="41"/>
      <c r="G79" s="41"/>
      <c r="H79" s="41"/>
      <c r="I79" s="41"/>
      <c r="J79" s="41"/>
      <c r="K79" s="41"/>
      <c r="L79" s="41"/>
      <c r="M79" s="41"/>
      <c r="N79" s="41"/>
      <c r="O79" s="41"/>
      <c r="P79" s="41"/>
      <c r="Q79" s="41"/>
      <c r="R79" s="41"/>
      <c r="S79" s="41"/>
      <c r="T79" s="41"/>
      <c r="U79" s="41"/>
      <c r="V79" s="41"/>
      <c r="W79" s="41"/>
      <c r="X79" s="5"/>
      <c r="Y79" s="5"/>
      <c r="Z79" s="5"/>
    </row>
    <row r="80" ht="16.5" customHeight="1">
      <c r="A80" s="41"/>
      <c r="B80" s="41"/>
      <c r="C80" s="41"/>
      <c r="D80" s="41"/>
      <c r="E80" s="41"/>
      <c r="F80" s="41"/>
      <c r="G80" s="41"/>
      <c r="H80" s="41"/>
      <c r="I80" s="41"/>
      <c r="J80" s="41"/>
      <c r="K80" s="41"/>
      <c r="L80" s="41"/>
      <c r="M80" s="41"/>
      <c r="N80" s="41"/>
      <c r="O80" s="41"/>
      <c r="P80" s="41"/>
      <c r="Q80" s="41"/>
      <c r="R80" s="41"/>
      <c r="S80" s="41"/>
      <c r="T80" s="41"/>
      <c r="U80" s="41"/>
      <c r="V80" s="41"/>
      <c r="W80" s="41"/>
      <c r="X80" s="5"/>
      <c r="Y80" s="5"/>
      <c r="Z80" s="5"/>
    </row>
    <row r="81" ht="16.5" customHeight="1">
      <c r="A81" s="41"/>
      <c r="B81" s="41"/>
      <c r="C81" s="41"/>
      <c r="D81" s="41"/>
      <c r="E81" s="41"/>
      <c r="F81" s="41"/>
      <c r="G81" s="41"/>
      <c r="H81" s="41"/>
      <c r="I81" s="41"/>
      <c r="J81" s="41"/>
      <c r="K81" s="41"/>
      <c r="L81" s="41"/>
      <c r="M81" s="41"/>
      <c r="N81" s="41"/>
      <c r="O81" s="41"/>
      <c r="P81" s="41"/>
      <c r="Q81" s="41"/>
      <c r="R81" s="41"/>
      <c r="S81" s="41"/>
      <c r="T81" s="41"/>
      <c r="U81" s="41"/>
      <c r="V81" s="41"/>
      <c r="W81" s="41"/>
      <c r="X81" s="5"/>
      <c r="Y81" s="5"/>
      <c r="Z81" s="5"/>
    </row>
    <row r="82" ht="16.5" customHeight="1">
      <c r="A82" s="41"/>
      <c r="B82" s="41"/>
      <c r="C82" s="41"/>
      <c r="D82" s="41"/>
      <c r="E82" s="41"/>
      <c r="F82" s="41"/>
      <c r="G82" s="41"/>
      <c r="H82" s="41"/>
      <c r="I82" s="41"/>
      <c r="J82" s="41"/>
      <c r="K82" s="41"/>
      <c r="L82" s="41"/>
      <c r="M82" s="41"/>
      <c r="N82" s="41"/>
      <c r="O82" s="41"/>
      <c r="P82" s="41"/>
      <c r="Q82" s="41"/>
      <c r="R82" s="41"/>
      <c r="S82" s="41"/>
      <c r="T82" s="41"/>
      <c r="U82" s="41"/>
      <c r="V82" s="41"/>
      <c r="W82" s="41"/>
      <c r="X82" s="5"/>
      <c r="Y82" s="5"/>
      <c r="Z82" s="5"/>
    </row>
    <row r="83" ht="16.5" customHeight="1">
      <c r="A83" s="41"/>
      <c r="B83" s="41"/>
      <c r="C83" s="41"/>
      <c r="D83" s="41"/>
      <c r="E83" s="41"/>
      <c r="F83" s="41"/>
      <c r="G83" s="41"/>
      <c r="H83" s="41"/>
      <c r="I83" s="41"/>
      <c r="J83" s="41"/>
      <c r="K83" s="41"/>
      <c r="L83" s="41"/>
      <c r="M83" s="41"/>
      <c r="N83" s="41"/>
      <c r="O83" s="41"/>
      <c r="P83" s="41"/>
      <c r="Q83" s="41"/>
      <c r="R83" s="41"/>
      <c r="S83" s="41"/>
      <c r="T83" s="41"/>
      <c r="U83" s="41"/>
      <c r="V83" s="41"/>
      <c r="W83" s="41"/>
      <c r="X83" s="5"/>
      <c r="Y83" s="5"/>
      <c r="Z83" s="5"/>
    </row>
    <row r="84" ht="16.5" customHeight="1">
      <c r="A84" s="41"/>
      <c r="B84" s="41"/>
      <c r="C84" s="41"/>
      <c r="D84" s="41"/>
      <c r="E84" s="41"/>
      <c r="F84" s="41"/>
      <c r="G84" s="41"/>
      <c r="H84" s="41"/>
      <c r="I84" s="41"/>
      <c r="J84" s="41"/>
      <c r="K84" s="41"/>
      <c r="L84" s="41"/>
      <c r="M84" s="41"/>
      <c r="N84" s="41"/>
      <c r="O84" s="41"/>
      <c r="P84" s="41"/>
      <c r="Q84" s="41"/>
      <c r="R84" s="41"/>
      <c r="S84" s="41"/>
      <c r="T84" s="41"/>
      <c r="U84" s="41"/>
      <c r="V84" s="41"/>
      <c r="W84" s="41"/>
      <c r="X84" s="5"/>
      <c r="Y84" s="5"/>
      <c r="Z84" s="5"/>
    </row>
    <row r="85" ht="16.5" customHeight="1">
      <c r="A85" s="41"/>
      <c r="B85" s="41"/>
      <c r="C85" s="41"/>
      <c r="D85" s="41"/>
      <c r="E85" s="41"/>
      <c r="F85" s="41"/>
      <c r="G85" s="41"/>
      <c r="H85" s="41"/>
      <c r="I85" s="41"/>
      <c r="J85" s="41"/>
      <c r="K85" s="41"/>
      <c r="L85" s="41"/>
      <c r="M85" s="41"/>
      <c r="N85" s="41"/>
      <c r="O85" s="41"/>
      <c r="P85" s="41"/>
      <c r="Q85" s="41"/>
      <c r="R85" s="41"/>
      <c r="S85" s="41"/>
      <c r="T85" s="41"/>
      <c r="U85" s="41"/>
      <c r="V85" s="41"/>
      <c r="W85" s="41"/>
      <c r="X85" s="5"/>
      <c r="Y85" s="5"/>
      <c r="Z85" s="5"/>
    </row>
    <row r="86" ht="16.5" customHeight="1">
      <c r="A86" s="41"/>
      <c r="B86" s="41"/>
      <c r="C86" s="41"/>
      <c r="D86" s="41"/>
      <c r="E86" s="41"/>
      <c r="F86" s="41"/>
      <c r="G86" s="41"/>
      <c r="H86" s="41"/>
      <c r="I86" s="41"/>
      <c r="J86" s="41"/>
      <c r="K86" s="41"/>
      <c r="L86" s="41"/>
      <c r="M86" s="41"/>
      <c r="N86" s="41"/>
      <c r="O86" s="41"/>
      <c r="P86" s="41"/>
      <c r="Q86" s="41"/>
      <c r="R86" s="41"/>
      <c r="S86" s="41"/>
      <c r="T86" s="41"/>
      <c r="U86" s="41"/>
      <c r="V86" s="41"/>
      <c r="W86" s="41"/>
      <c r="X86" s="5"/>
      <c r="Y86" s="5"/>
      <c r="Z86" s="5"/>
    </row>
    <row r="87" ht="16.5" customHeight="1">
      <c r="A87" s="41"/>
      <c r="B87" s="41"/>
      <c r="C87" s="41"/>
      <c r="D87" s="41"/>
      <c r="E87" s="41"/>
      <c r="F87" s="41"/>
      <c r="G87" s="41"/>
      <c r="H87" s="41"/>
      <c r="I87" s="41"/>
      <c r="J87" s="41"/>
      <c r="K87" s="41"/>
      <c r="L87" s="41"/>
      <c r="M87" s="41"/>
      <c r="N87" s="41"/>
      <c r="O87" s="41"/>
      <c r="P87" s="41"/>
      <c r="Q87" s="41"/>
      <c r="R87" s="41"/>
      <c r="S87" s="41"/>
      <c r="T87" s="41"/>
      <c r="U87" s="41"/>
      <c r="V87" s="41"/>
      <c r="W87" s="41"/>
      <c r="X87" s="5"/>
      <c r="Y87" s="5"/>
      <c r="Z87" s="5"/>
    </row>
    <row r="88" ht="16.5" customHeight="1">
      <c r="A88" s="41"/>
      <c r="B88" s="41"/>
      <c r="C88" s="41"/>
      <c r="D88" s="41"/>
      <c r="E88" s="41"/>
      <c r="F88" s="41"/>
      <c r="G88" s="41"/>
      <c r="H88" s="41"/>
      <c r="I88" s="41"/>
      <c r="J88" s="41"/>
      <c r="K88" s="41"/>
      <c r="L88" s="41"/>
      <c r="M88" s="41"/>
      <c r="N88" s="41"/>
      <c r="O88" s="41"/>
      <c r="P88" s="41"/>
      <c r="Q88" s="41"/>
      <c r="R88" s="41"/>
      <c r="S88" s="41"/>
      <c r="T88" s="41"/>
      <c r="U88" s="41"/>
      <c r="V88" s="41"/>
      <c r="W88" s="41"/>
      <c r="X88" s="5"/>
      <c r="Y88" s="5"/>
      <c r="Z88" s="5"/>
    </row>
    <row r="89" ht="16.5" customHeight="1">
      <c r="A89" s="41"/>
      <c r="B89" s="41"/>
      <c r="C89" s="41"/>
      <c r="D89" s="41"/>
      <c r="E89" s="41"/>
      <c r="F89" s="41"/>
      <c r="G89" s="41"/>
      <c r="H89" s="41"/>
      <c r="I89" s="41"/>
      <c r="J89" s="41"/>
      <c r="K89" s="41"/>
      <c r="L89" s="41"/>
      <c r="M89" s="41"/>
      <c r="N89" s="41"/>
      <c r="O89" s="41"/>
      <c r="P89" s="41"/>
      <c r="Q89" s="41"/>
      <c r="R89" s="41"/>
      <c r="S89" s="41"/>
      <c r="T89" s="41"/>
      <c r="U89" s="41"/>
      <c r="V89" s="41"/>
      <c r="W89" s="41"/>
      <c r="X89" s="5"/>
      <c r="Y89" s="5"/>
      <c r="Z89" s="5"/>
    </row>
    <row r="90" ht="16.5" customHeight="1">
      <c r="A90" s="41"/>
      <c r="B90" s="41"/>
      <c r="C90" s="41"/>
      <c r="D90" s="41"/>
      <c r="E90" s="41"/>
      <c r="F90" s="41"/>
      <c r="G90" s="41"/>
      <c r="H90" s="41"/>
      <c r="I90" s="41"/>
      <c r="J90" s="41"/>
      <c r="K90" s="41"/>
      <c r="L90" s="41"/>
      <c r="M90" s="41"/>
      <c r="N90" s="41"/>
      <c r="O90" s="41"/>
      <c r="P90" s="41"/>
      <c r="Q90" s="41"/>
      <c r="R90" s="41"/>
      <c r="S90" s="41"/>
      <c r="T90" s="41"/>
      <c r="U90" s="41"/>
      <c r="V90" s="41"/>
      <c r="W90" s="41"/>
      <c r="X90" s="5"/>
      <c r="Y90" s="5"/>
      <c r="Z90" s="5"/>
    </row>
    <row r="91" ht="16.5" customHeight="1">
      <c r="A91" s="41"/>
      <c r="B91" s="41"/>
      <c r="C91" s="41"/>
      <c r="D91" s="41"/>
      <c r="E91" s="41"/>
      <c r="F91" s="41"/>
      <c r="G91" s="41"/>
      <c r="H91" s="41"/>
      <c r="I91" s="41"/>
      <c r="J91" s="41"/>
      <c r="K91" s="41"/>
      <c r="L91" s="41"/>
      <c r="M91" s="41"/>
      <c r="N91" s="41"/>
      <c r="O91" s="41"/>
      <c r="P91" s="41"/>
      <c r="Q91" s="41"/>
      <c r="R91" s="41"/>
      <c r="S91" s="41"/>
      <c r="T91" s="41"/>
      <c r="U91" s="41"/>
      <c r="V91" s="41"/>
      <c r="W91" s="41"/>
      <c r="X91" s="5"/>
      <c r="Y91" s="5"/>
      <c r="Z91" s="5"/>
    </row>
    <row r="92" ht="16.5" customHeight="1">
      <c r="A92" s="41"/>
      <c r="B92" s="41"/>
      <c r="C92" s="41"/>
      <c r="D92" s="41"/>
      <c r="E92" s="41"/>
      <c r="F92" s="41"/>
      <c r="G92" s="41"/>
      <c r="H92" s="41"/>
      <c r="I92" s="41"/>
      <c r="J92" s="41"/>
      <c r="K92" s="41"/>
      <c r="L92" s="41"/>
      <c r="M92" s="41"/>
      <c r="N92" s="41"/>
      <c r="O92" s="41"/>
      <c r="P92" s="41"/>
      <c r="Q92" s="41"/>
      <c r="R92" s="41"/>
      <c r="S92" s="41"/>
      <c r="T92" s="41"/>
      <c r="U92" s="41"/>
      <c r="V92" s="41"/>
      <c r="W92" s="41"/>
      <c r="X92" s="5"/>
      <c r="Y92" s="5"/>
      <c r="Z92" s="5"/>
    </row>
    <row r="93" ht="16.5" customHeight="1">
      <c r="A93" s="41"/>
      <c r="B93" s="41"/>
      <c r="C93" s="41"/>
      <c r="D93" s="41"/>
      <c r="E93" s="41"/>
      <c r="F93" s="41"/>
      <c r="G93" s="41"/>
      <c r="H93" s="41"/>
      <c r="I93" s="41"/>
      <c r="J93" s="41"/>
      <c r="K93" s="41"/>
      <c r="L93" s="41"/>
      <c r="M93" s="41"/>
      <c r="N93" s="41"/>
      <c r="O93" s="41"/>
      <c r="P93" s="41"/>
      <c r="Q93" s="41"/>
      <c r="R93" s="41"/>
      <c r="S93" s="41"/>
      <c r="T93" s="41"/>
      <c r="U93" s="41"/>
      <c r="V93" s="41"/>
      <c r="W93" s="41"/>
      <c r="X93" s="5"/>
      <c r="Y93" s="5"/>
      <c r="Z93" s="5"/>
    </row>
    <row r="94" ht="16.5" customHeight="1">
      <c r="A94" s="41"/>
      <c r="B94" s="41"/>
      <c r="C94" s="41"/>
      <c r="D94" s="41"/>
      <c r="E94" s="41"/>
      <c r="F94" s="41"/>
      <c r="G94" s="41"/>
      <c r="H94" s="41"/>
      <c r="I94" s="41"/>
      <c r="J94" s="41"/>
      <c r="K94" s="41"/>
      <c r="L94" s="41"/>
      <c r="M94" s="41"/>
      <c r="N94" s="41"/>
      <c r="O94" s="41"/>
      <c r="P94" s="41"/>
      <c r="Q94" s="41"/>
      <c r="R94" s="41"/>
      <c r="S94" s="41"/>
      <c r="T94" s="41"/>
      <c r="U94" s="41"/>
      <c r="V94" s="41"/>
      <c r="W94" s="41"/>
      <c r="X94" s="5"/>
      <c r="Y94" s="5"/>
      <c r="Z94" s="5"/>
    </row>
    <row r="95" ht="16.5" customHeight="1">
      <c r="A95" s="41"/>
      <c r="B95" s="41"/>
      <c r="C95" s="41"/>
      <c r="D95" s="41"/>
      <c r="E95" s="41"/>
      <c r="F95" s="41"/>
      <c r="G95" s="41"/>
      <c r="H95" s="41"/>
      <c r="I95" s="41"/>
      <c r="J95" s="41"/>
      <c r="K95" s="41"/>
      <c r="L95" s="41"/>
      <c r="M95" s="41"/>
      <c r="N95" s="41"/>
      <c r="O95" s="41"/>
      <c r="P95" s="41"/>
      <c r="Q95" s="41"/>
      <c r="R95" s="41"/>
      <c r="S95" s="41"/>
      <c r="T95" s="41"/>
      <c r="U95" s="41"/>
      <c r="V95" s="41"/>
      <c r="W95" s="41"/>
      <c r="X95" s="5"/>
      <c r="Y95" s="5"/>
      <c r="Z95" s="5"/>
    </row>
    <row r="96" ht="16.5" customHeight="1">
      <c r="A96" s="41"/>
      <c r="B96" s="41"/>
      <c r="C96" s="41"/>
      <c r="D96" s="41"/>
      <c r="E96" s="41"/>
      <c r="F96" s="41"/>
      <c r="G96" s="41"/>
      <c r="H96" s="41"/>
      <c r="I96" s="41"/>
      <c r="J96" s="41"/>
      <c r="K96" s="41"/>
      <c r="L96" s="41"/>
      <c r="M96" s="41"/>
      <c r="N96" s="41"/>
      <c r="O96" s="41"/>
      <c r="P96" s="41"/>
      <c r="Q96" s="41"/>
      <c r="R96" s="41"/>
      <c r="S96" s="41"/>
      <c r="T96" s="41"/>
      <c r="U96" s="41"/>
      <c r="V96" s="41"/>
      <c r="W96" s="41"/>
      <c r="X96" s="5"/>
      <c r="Y96" s="5"/>
      <c r="Z96" s="5"/>
    </row>
    <row r="97" ht="16.5" customHeight="1">
      <c r="A97" s="41"/>
      <c r="B97" s="41"/>
      <c r="C97" s="41"/>
      <c r="D97" s="41"/>
      <c r="E97" s="41"/>
      <c r="F97" s="41"/>
      <c r="G97" s="41"/>
      <c r="H97" s="41"/>
      <c r="I97" s="41"/>
      <c r="J97" s="41"/>
      <c r="K97" s="41"/>
      <c r="L97" s="41"/>
      <c r="M97" s="41"/>
      <c r="N97" s="41"/>
      <c r="O97" s="41"/>
      <c r="P97" s="41"/>
      <c r="Q97" s="41"/>
      <c r="R97" s="41"/>
      <c r="S97" s="41"/>
      <c r="T97" s="41"/>
      <c r="U97" s="41"/>
      <c r="V97" s="41"/>
      <c r="W97" s="41"/>
      <c r="X97" s="5"/>
      <c r="Y97" s="5"/>
      <c r="Z97" s="5"/>
    </row>
    <row r="98" ht="16.5" customHeight="1">
      <c r="A98" s="41"/>
      <c r="B98" s="41"/>
      <c r="C98" s="41"/>
      <c r="D98" s="41"/>
      <c r="E98" s="41"/>
      <c r="F98" s="41"/>
      <c r="G98" s="41"/>
      <c r="H98" s="41"/>
      <c r="I98" s="41"/>
      <c r="J98" s="41"/>
      <c r="K98" s="41"/>
      <c r="L98" s="41"/>
      <c r="M98" s="41"/>
      <c r="N98" s="41"/>
      <c r="O98" s="41"/>
      <c r="P98" s="41"/>
      <c r="Q98" s="41"/>
      <c r="R98" s="41"/>
      <c r="S98" s="41"/>
      <c r="T98" s="41"/>
      <c r="U98" s="41"/>
      <c r="V98" s="41"/>
      <c r="W98" s="41"/>
      <c r="X98" s="5"/>
      <c r="Y98" s="5"/>
      <c r="Z98" s="5"/>
    </row>
    <row r="99" ht="16.5" customHeight="1">
      <c r="A99" s="41"/>
      <c r="B99" s="41"/>
      <c r="C99" s="41"/>
      <c r="D99" s="41"/>
      <c r="E99" s="41"/>
      <c r="F99" s="41"/>
      <c r="G99" s="41"/>
      <c r="H99" s="41"/>
      <c r="I99" s="41"/>
      <c r="J99" s="41"/>
      <c r="K99" s="41"/>
      <c r="L99" s="41"/>
      <c r="M99" s="41"/>
      <c r="N99" s="41"/>
      <c r="O99" s="41"/>
      <c r="P99" s="41"/>
      <c r="Q99" s="41"/>
      <c r="R99" s="41"/>
      <c r="S99" s="41"/>
      <c r="T99" s="41"/>
      <c r="U99" s="41"/>
      <c r="V99" s="41"/>
      <c r="W99" s="41"/>
      <c r="X99" s="5"/>
      <c r="Y99" s="5"/>
      <c r="Z99" s="5"/>
    </row>
    <row r="100" ht="16.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5"/>
      <c r="Y100" s="5"/>
      <c r="Z100" s="5"/>
    </row>
    <row r="101" ht="16.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5"/>
      <c r="Y101" s="5"/>
      <c r="Z101" s="5"/>
    </row>
    <row r="102" ht="16.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5"/>
      <c r="Y102" s="5"/>
      <c r="Z102" s="5"/>
    </row>
    <row r="103" ht="16.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5"/>
      <c r="Y103" s="5"/>
      <c r="Z103" s="5"/>
    </row>
    <row r="104" ht="16.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5"/>
      <c r="Y104" s="5"/>
      <c r="Z104" s="5"/>
    </row>
    <row r="105" ht="16.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5"/>
      <c r="Y105" s="5"/>
      <c r="Z105" s="5"/>
    </row>
    <row r="106" ht="16.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5"/>
      <c r="Y106" s="5"/>
      <c r="Z106" s="5"/>
    </row>
    <row r="107" ht="16.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5"/>
      <c r="Y107" s="5"/>
      <c r="Z107" s="5"/>
    </row>
    <row r="108" ht="16.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5"/>
      <c r="Y108" s="5"/>
      <c r="Z108" s="5"/>
    </row>
    <row r="109" ht="16.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5"/>
      <c r="Y109" s="5"/>
      <c r="Z109" s="5"/>
    </row>
    <row r="110" ht="16.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5"/>
      <c r="Y110" s="5"/>
      <c r="Z110" s="5"/>
    </row>
    <row r="111" ht="16.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5"/>
      <c r="Y111" s="5"/>
      <c r="Z111" s="5"/>
    </row>
    <row r="112" ht="16.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5"/>
      <c r="Y112" s="5"/>
      <c r="Z112" s="5"/>
    </row>
    <row r="113" ht="16.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5"/>
      <c r="Y113" s="5"/>
      <c r="Z113" s="5"/>
    </row>
    <row r="114" ht="16.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5"/>
      <c r="Y114" s="5"/>
      <c r="Z114" s="5"/>
    </row>
    <row r="115" ht="16.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5"/>
      <c r="Y115" s="5"/>
      <c r="Z115" s="5"/>
    </row>
    <row r="116" ht="16.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5"/>
      <c r="Y116" s="5"/>
      <c r="Z116" s="5"/>
    </row>
    <row r="117" ht="16.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5"/>
      <c r="Y117" s="5"/>
      <c r="Z117" s="5"/>
    </row>
    <row r="118" ht="16.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5"/>
      <c r="Y118" s="5"/>
      <c r="Z118" s="5"/>
    </row>
    <row r="119" ht="16.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5"/>
      <c r="Y119" s="5"/>
      <c r="Z119" s="5"/>
    </row>
    <row r="120" ht="16.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5"/>
      <c r="Y120" s="5"/>
      <c r="Z120" s="5"/>
    </row>
    <row r="121" ht="16.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5"/>
      <c r="Y121" s="5"/>
      <c r="Z121" s="5"/>
    </row>
    <row r="122" ht="16.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5"/>
      <c r="Y122" s="5"/>
      <c r="Z122" s="5"/>
    </row>
    <row r="123" ht="16.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5"/>
      <c r="Y123" s="5"/>
      <c r="Z123" s="5"/>
    </row>
    <row r="124" ht="16.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5"/>
      <c r="Y124" s="5"/>
      <c r="Z124" s="5"/>
    </row>
    <row r="125" ht="16.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5"/>
      <c r="Y125" s="5"/>
      <c r="Z125" s="5"/>
    </row>
    <row r="126" ht="16.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5"/>
      <c r="Y126" s="5"/>
      <c r="Z126" s="5"/>
    </row>
    <row r="127" ht="16.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5"/>
      <c r="Y127" s="5"/>
      <c r="Z127" s="5"/>
    </row>
    <row r="128" ht="16.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5"/>
      <c r="Y128" s="5"/>
      <c r="Z128" s="5"/>
    </row>
    <row r="129" ht="16.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5"/>
      <c r="Y129" s="5"/>
      <c r="Z129" s="5"/>
    </row>
    <row r="130" ht="16.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5"/>
      <c r="Y130" s="5"/>
      <c r="Z130" s="5"/>
    </row>
    <row r="131" ht="16.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5"/>
      <c r="Y131" s="5"/>
      <c r="Z131" s="5"/>
    </row>
    <row r="132" ht="16.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5"/>
      <c r="Y132" s="5"/>
      <c r="Z132" s="5"/>
    </row>
    <row r="133" ht="16.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5"/>
      <c r="Y133" s="5"/>
      <c r="Z133" s="5"/>
    </row>
    <row r="134" ht="16.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5"/>
      <c r="Y134" s="5"/>
      <c r="Z134" s="5"/>
    </row>
    <row r="135" ht="16.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5"/>
      <c r="Y135" s="5"/>
      <c r="Z135" s="5"/>
    </row>
    <row r="136" ht="16.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5"/>
      <c r="Y136" s="5"/>
      <c r="Z136" s="5"/>
    </row>
    <row r="137" ht="16.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5"/>
      <c r="Y137" s="5"/>
      <c r="Z137" s="5"/>
    </row>
    <row r="138" ht="16.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5"/>
      <c r="Y138" s="5"/>
      <c r="Z138" s="5"/>
    </row>
    <row r="139" ht="16.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5"/>
      <c r="Y139" s="5"/>
      <c r="Z139" s="5"/>
    </row>
    <row r="140" ht="16.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5"/>
      <c r="Y140" s="5"/>
      <c r="Z140" s="5"/>
    </row>
    <row r="141" ht="16.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5"/>
      <c r="Y141" s="5"/>
      <c r="Z141" s="5"/>
    </row>
    <row r="142" ht="16.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5"/>
      <c r="Y142" s="5"/>
      <c r="Z142" s="5"/>
    </row>
    <row r="143" ht="16.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5"/>
      <c r="Y143" s="5"/>
      <c r="Z143" s="5"/>
    </row>
    <row r="144" ht="16.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5"/>
      <c r="Y144" s="5"/>
      <c r="Z144" s="5"/>
    </row>
    <row r="145" ht="16.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5"/>
      <c r="Y145" s="5"/>
      <c r="Z145" s="5"/>
    </row>
    <row r="146" ht="16.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5"/>
      <c r="Y146" s="5"/>
      <c r="Z146" s="5"/>
    </row>
    <row r="147" ht="16.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5"/>
      <c r="Y147" s="5"/>
      <c r="Z147" s="5"/>
    </row>
    <row r="148" ht="16.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5"/>
      <c r="Y148" s="5"/>
      <c r="Z148" s="5"/>
    </row>
    <row r="149" ht="16.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5"/>
      <c r="Y149" s="5"/>
      <c r="Z149" s="5"/>
    </row>
    <row r="150" ht="16.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5"/>
      <c r="Y150" s="5"/>
      <c r="Z150" s="5"/>
    </row>
    <row r="151" ht="16.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5"/>
      <c r="Y151" s="5"/>
      <c r="Z151" s="5"/>
    </row>
    <row r="152" ht="16.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5"/>
      <c r="Y152" s="5"/>
      <c r="Z152" s="5"/>
    </row>
    <row r="153" ht="16.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5"/>
      <c r="Y153" s="5"/>
      <c r="Z153" s="5"/>
    </row>
    <row r="154" ht="16.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5"/>
      <c r="Y154" s="5"/>
      <c r="Z154" s="5"/>
    </row>
    <row r="155" ht="16.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5"/>
      <c r="Y155" s="5"/>
      <c r="Z155" s="5"/>
    </row>
    <row r="156" ht="16.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5"/>
      <c r="Y156" s="5"/>
      <c r="Z156" s="5"/>
    </row>
    <row r="157" ht="16.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5"/>
      <c r="Y157" s="5"/>
      <c r="Z157" s="5"/>
    </row>
    <row r="158" ht="16.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5"/>
      <c r="Y158" s="5"/>
      <c r="Z158" s="5"/>
    </row>
    <row r="159" ht="16.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5"/>
      <c r="Y159" s="5"/>
      <c r="Z159" s="5"/>
    </row>
    <row r="160" ht="16.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5"/>
      <c r="Y160" s="5"/>
      <c r="Z160" s="5"/>
    </row>
    <row r="161" ht="16.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5"/>
      <c r="Y161" s="5"/>
      <c r="Z161" s="5"/>
    </row>
    <row r="162" ht="16.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5"/>
      <c r="Y162" s="5"/>
      <c r="Z162" s="5"/>
    </row>
    <row r="163" ht="16.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5"/>
      <c r="Y163" s="5"/>
      <c r="Z163" s="5"/>
    </row>
    <row r="164" ht="16.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5"/>
      <c r="Y164" s="5"/>
      <c r="Z164" s="5"/>
    </row>
    <row r="165" ht="16.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5"/>
      <c r="Y165" s="5"/>
      <c r="Z165" s="5"/>
    </row>
    <row r="166" ht="16.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5"/>
      <c r="Y166" s="5"/>
      <c r="Z166" s="5"/>
    </row>
    <row r="167" ht="16.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5"/>
      <c r="Y167" s="5"/>
      <c r="Z167" s="5"/>
    </row>
    <row r="168" ht="16.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5"/>
      <c r="Y168" s="5"/>
      <c r="Z168" s="5"/>
    </row>
    <row r="169" ht="16.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5"/>
      <c r="Y169" s="5"/>
      <c r="Z169" s="5"/>
    </row>
    <row r="170" ht="16.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5"/>
      <c r="Y170" s="5"/>
      <c r="Z170" s="5"/>
    </row>
    <row r="171" ht="16.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5"/>
      <c r="Y171" s="5"/>
      <c r="Z171" s="5"/>
    </row>
    <row r="172" ht="16.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5"/>
      <c r="Y172" s="5"/>
      <c r="Z172" s="5"/>
    </row>
    <row r="173" ht="16.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5"/>
      <c r="Y173" s="5"/>
      <c r="Z173" s="5"/>
    </row>
    <row r="174" ht="16.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5"/>
      <c r="Y174" s="5"/>
      <c r="Z174" s="5"/>
    </row>
    <row r="175" ht="16.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5"/>
      <c r="Y175" s="5"/>
      <c r="Z175" s="5"/>
    </row>
    <row r="176" ht="16.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5"/>
      <c r="Y176" s="5"/>
      <c r="Z176" s="5"/>
    </row>
    <row r="177" ht="16.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5"/>
      <c r="Y177" s="5"/>
      <c r="Z177" s="5"/>
    </row>
    <row r="178" ht="16.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5"/>
      <c r="Y178" s="5"/>
      <c r="Z178" s="5"/>
    </row>
    <row r="179" ht="16.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5"/>
      <c r="Y179" s="5"/>
      <c r="Z179" s="5"/>
    </row>
    <row r="180" ht="16.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5"/>
      <c r="Y180" s="5"/>
      <c r="Z180" s="5"/>
    </row>
    <row r="181" ht="16.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5"/>
      <c r="Y181" s="5"/>
      <c r="Z181" s="5"/>
    </row>
    <row r="182" ht="16.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5"/>
      <c r="Y182" s="5"/>
      <c r="Z182" s="5"/>
    </row>
    <row r="183" ht="16.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5"/>
      <c r="Y183" s="5"/>
      <c r="Z183" s="5"/>
    </row>
    <row r="184" ht="16.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5"/>
      <c r="Y184" s="5"/>
      <c r="Z184" s="5"/>
    </row>
    <row r="185" ht="16.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5"/>
      <c r="Y185" s="5"/>
      <c r="Z185" s="5"/>
    </row>
    <row r="186" ht="16.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5"/>
      <c r="Y186" s="5"/>
      <c r="Z186" s="5"/>
    </row>
    <row r="187" ht="16.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5"/>
      <c r="Y187" s="5"/>
      <c r="Z187" s="5"/>
    </row>
    <row r="188" ht="16.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5"/>
      <c r="Y188" s="5"/>
      <c r="Z188" s="5"/>
    </row>
    <row r="189" ht="16.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5"/>
      <c r="Y189" s="5"/>
      <c r="Z189" s="5"/>
    </row>
    <row r="190" ht="16.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5"/>
      <c r="Y190" s="5"/>
      <c r="Z190" s="5"/>
    </row>
    <row r="191" ht="16.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5"/>
      <c r="Y191" s="5"/>
      <c r="Z191" s="5"/>
    </row>
    <row r="192" ht="16.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5"/>
      <c r="Y192" s="5"/>
      <c r="Z192" s="5"/>
    </row>
    <row r="193" ht="16.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5"/>
      <c r="Y193" s="5"/>
      <c r="Z193" s="5"/>
    </row>
    <row r="194" ht="16.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5"/>
      <c r="Y194" s="5"/>
      <c r="Z194" s="5"/>
    </row>
    <row r="195" ht="16.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5"/>
      <c r="Y195" s="5"/>
      <c r="Z195" s="5"/>
    </row>
    <row r="196" ht="16.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5"/>
      <c r="Y196" s="5"/>
      <c r="Z196" s="5"/>
    </row>
    <row r="197" ht="16.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5"/>
      <c r="Y197" s="5"/>
      <c r="Z197" s="5"/>
    </row>
    <row r="198" ht="16.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5"/>
      <c r="Y198" s="5"/>
      <c r="Z198" s="5"/>
    </row>
    <row r="199" ht="16.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5"/>
      <c r="Y199" s="5"/>
      <c r="Z199" s="5"/>
    </row>
    <row r="200" ht="16.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5"/>
      <c r="Y200" s="5"/>
      <c r="Z200" s="5"/>
    </row>
    <row r="201" ht="16.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5"/>
      <c r="Y201" s="5"/>
      <c r="Z201" s="5"/>
    </row>
    <row r="202" ht="16.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5"/>
      <c r="Y202" s="5"/>
      <c r="Z202" s="5"/>
    </row>
    <row r="203" ht="16.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5"/>
      <c r="Y203" s="5"/>
      <c r="Z203" s="5"/>
    </row>
    <row r="204" ht="16.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5"/>
      <c r="Y204" s="5"/>
      <c r="Z204" s="5"/>
    </row>
    <row r="205" ht="16.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5"/>
      <c r="Y205" s="5"/>
      <c r="Z205" s="5"/>
    </row>
    <row r="206" ht="16.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5"/>
      <c r="Y206" s="5"/>
      <c r="Z206" s="5"/>
    </row>
    <row r="207" ht="16.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5"/>
      <c r="Y207" s="5"/>
      <c r="Z207" s="5"/>
    </row>
    <row r="208" ht="16.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5"/>
      <c r="Y208" s="5"/>
      <c r="Z208" s="5"/>
    </row>
    <row r="209" ht="16.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5"/>
      <c r="Y209" s="5"/>
      <c r="Z209" s="5"/>
    </row>
    <row r="210" ht="16.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5"/>
      <c r="Y210" s="5"/>
      <c r="Z210" s="5"/>
    </row>
    <row r="211" ht="16.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5"/>
      <c r="Y211" s="5"/>
      <c r="Z211" s="5"/>
    </row>
    <row r="212" ht="16.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5"/>
      <c r="Y212" s="5"/>
      <c r="Z212" s="5"/>
    </row>
    <row r="213" ht="16.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5"/>
      <c r="Y213" s="5"/>
      <c r="Z213" s="5"/>
    </row>
    <row r="214" ht="16.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5"/>
      <c r="Y214" s="5"/>
      <c r="Z214" s="5"/>
    </row>
    <row r="215" ht="16.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5"/>
      <c r="Y215" s="5"/>
      <c r="Z215" s="5"/>
    </row>
    <row r="216" ht="16.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5"/>
      <c r="Y216" s="5"/>
      <c r="Z216" s="5"/>
    </row>
    <row r="217" ht="16.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87401575" footer="0.0" header="0.0" left="0.511811024" right="0.511811024"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34.86"/>
    <col customWidth="1" min="2" max="2" width="32.0"/>
    <col customWidth="1" min="3" max="22" width="14.43"/>
  </cols>
  <sheetData>
    <row r="1">
      <c r="A1" s="13" t="s">
        <v>25</v>
      </c>
      <c r="B1" s="21" t="s">
        <v>26</v>
      </c>
      <c r="C1" s="41"/>
      <c r="D1" s="40"/>
      <c r="E1" s="40"/>
      <c r="F1" s="40"/>
      <c r="G1" s="40"/>
      <c r="H1" s="40"/>
      <c r="I1" s="41"/>
      <c r="J1" s="41"/>
      <c r="K1" s="41"/>
      <c r="L1" s="41"/>
      <c r="M1" s="41"/>
      <c r="N1" s="41"/>
      <c r="O1" s="41"/>
      <c r="P1" s="41"/>
      <c r="Q1" s="41"/>
      <c r="R1" s="41"/>
      <c r="S1" s="41"/>
      <c r="T1" s="41"/>
      <c r="U1" s="41"/>
      <c r="V1" s="41"/>
      <c r="W1" s="5"/>
      <c r="X1" s="5"/>
      <c r="Y1" s="5"/>
      <c r="Z1" s="5"/>
    </row>
    <row r="2">
      <c r="A2" s="89" t="s">
        <v>461</v>
      </c>
      <c r="B2" s="90" t="s">
        <v>462</v>
      </c>
      <c r="C2" s="91" t="s">
        <v>29</v>
      </c>
      <c r="D2" s="91" t="s">
        <v>30</v>
      </c>
      <c r="E2" s="91" t="s">
        <v>31</v>
      </c>
      <c r="F2" s="91" t="s">
        <v>32</v>
      </c>
      <c r="G2" s="91" t="s">
        <v>33</v>
      </c>
      <c r="H2" s="91" t="s">
        <v>34</v>
      </c>
      <c r="I2" s="91" t="s">
        <v>35</v>
      </c>
      <c r="J2" s="91" t="s">
        <v>36</v>
      </c>
      <c r="K2" s="91" t="s">
        <v>37</v>
      </c>
      <c r="L2" s="91" t="s">
        <v>38</v>
      </c>
      <c r="M2" s="91" t="s">
        <v>39</v>
      </c>
      <c r="N2" s="91" t="s">
        <v>40</v>
      </c>
      <c r="O2" s="91" t="s">
        <v>41</v>
      </c>
      <c r="P2" s="91" t="s">
        <v>42</v>
      </c>
      <c r="Q2" s="91" t="s">
        <v>43</v>
      </c>
      <c r="R2" s="91" t="s">
        <v>44</v>
      </c>
      <c r="S2" s="91" t="s">
        <v>45</v>
      </c>
      <c r="T2" s="91" t="s">
        <v>46</v>
      </c>
      <c r="U2" s="91" t="s">
        <v>47</v>
      </c>
      <c r="V2" s="41"/>
      <c r="W2" s="5"/>
      <c r="X2" s="5"/>
      <c r="Y2" s="5"/>
      <c r="Z2" s="5"/>
    </row>
    <row r="3">
      <c r="A3" s="56" t="s">
        <v>463</v>
      </c>
      <c r="B3" s="57" t="s">
        <v>464</v>
      </c>
      <c r="C3" s="58">
        <v>55614.0</v>
      </c>
      <c r="D3" s="58">
        <v>60944.0</v>
      </c>
      <c r="E3" s="58">
        <v>73157.0</v>
      </c>
      <c r="F3" s="58">
        <v>91836.0</v>
      </c>
      <c r="G3" s="58">
        <v>82632.0</v>
      </c>
      <c r="H3" s="58">
        <v>93895.0</v>
      </c>
      <c r="I3" s="58">
        <v>117432.0</v>
      </c>
      <c r="J3" s="58">
        <v>117926.0</v>
      </c>
      <c r="K3" s="58">
        <v>99752.0</v>
      </c>
      <c r="L3" s="58">
        <v>88872.0</v>
      </c>
      <c r="M3" s="58">
        <v>136104.0</v>
      </c>
      <c r="N3" s="58">
        <v>118818.0</v>
      </c>
      <c r="O3" s="58">
        <v>99468.0</v>
      </c>
      <c r="P3" s="58">
        <v>102219.0</v>
      </c>
      <c r="Q3" s="58">
        <v>115023.0</v>
      </c>
      <c r="R3" s="58">
        <v>129834.0</v>
      </c>
      <c r="S3" s="58">
        <v>121025.0</v>
      </c>
      <c r="T3" s="58">
        <v>119141.0</v>
      </c>
      <c r="U3" s="58">
        <v>152513.0</v>
      </c>
      <c r="V3" s="41"/>
      <c r="W3" s="5"/>
      <c r="X3" s="5"/>
      <c r="Y3" s="5"/>
      <c r="Z3" s="5"/>
    </row>
    <row r="4">
      <c r="A4" s="41" t="s">
        <v>465</v>
      </c>
      <c r="B4" s="52" t="s">
        <v>466</v>
      </c>
      <c r="C4" s="53">
        <v>-13356.0</v>
      </c>
      <c r="D4" s="53">
        <v>-17285.0</v>
      </c>
      <c r="E4" s="53">
        <v>-25150.0</v>
      </c>
      <c r="F4" s="53">
        <v>-27291.0</v>
      </c>
      <c r="G4" s="53">
        <v>-35517.0</v>
      </c>
      <c r="H4" s="53">
        <v>-42020.0</v>
      </c>
      <c r="I4" s="53">
        <v>-44753.0</v>
      </c>
      <c r="J4" s="53">
        <v>-42462.0</v>
      </c>
      <c r="K4" s="53">
        <v>-45283.0</v>
      </c>
      <c r="L4" s="53">
        <v>-41386.0</v>
      </c>
      <c r="M4" s="53">
        <v>-38270.0</v>
      </c>
      <c r="N4" s="53">
        <v>-45751.0</v>
      </c>
      <c r="O4" s="53">
        <v>-36474.0</v>
      </c>
      <c r="P4" s="53">
        <v>-32377.0</v>
      </c>
      <c r="Q4" s="53">
        <v>-36621.0</v>
      </c>
      <c r="R4" s="53">
        <v>-33566.0</v>
      </c>
      <c r="S4" s="53">
        <v>-41560.0</v>
      </c>
      <c r="T4" s="53">
        <v>-46676.0</v>
      </c>
      <c r="U4" s="53">
        <v>-50711.0</v>
      </c>
      <c r="V4" s="41"/>
      <c r="W4" s="5"/>
      <c r="X4" s="5"/>
      <c r="Y4" s="5"/>
      <c r="Z4" s="5"/>
    </row>
    <row r="5">
      <c r="A5" s="49" t="s">
        <v>467</v>
      </c>
      <c r="B5" s="50" t="s">
        <v>468</v>
      </c>
      <c r="C5" s="51">
        <f t="shared" ref="C5:U5" si="1">C3+C4</f>
        <v>42258</v>
      </c>
      <c r="D5" s="51">
        <f t="shared" si="1"/>
        <v>43659</v>
      </c>
      <c r="E5" s="51">
        <f t="shared" si="1"/>
        <v>48007</v>
      </c>
      <c r="F5" s="51">
        <f t="shared" si="1"/>
        <v>64545</v>
      </c>
      <c r="G5" s="51">
        <f t="shared" si="1"/>
        <v>47115</v>
      </c>
      <c r="H5" s="51">
        <f t="shared" si="1"/>
        <v>51875</v>
      </c>
      <c r="I5" s="51">
        <f t="shared" si="1"/>
        <v>72679</v>
      </c>
      <c r="J5" s="51">
        <f t="shared" si="1"/>
        <v>75464</v>
      </c>
      <c r="K5" s="51">
        <f t="shared" si="1"/>
        <v>54469</v>
      </c>
      <c r="L5" s="51">
        <f t="shared" si="1"/>
        <v>47486</v>
      </c>
      <c r="M5" s="51">
        <f t="shared" si="1"/>
        <v>97834</v>
      </c>
      <c r="N5" s="51">
        <f t="shared" si="1"/>
        <v>73067</v>
      </c>
      <c r="O5" s="51">
        <f t="shared" si="1"/>
        <v>62994</v>
      </c>
      <c r="P5" s="51">
        <f t="shared" si="1"/>
        <v>69842</v>
      </c>
      <c r="Q5" s="51">
        <f t="shared" si="1"/>
        <v>78402</v>
      </c>
      <c r="R5" s="51">
        <f t="shared" si="1"/>
        <v>96268</v>
      </c>
      <c r="S5" s="51">
        <f t="shared" si="1"/>
        <v>79465</v>
      </c>
      <c r="T5" s="51">
        <f t="shared" si="1"/>
        <v>72465</v>
      </c>
      <c r="U5" s="51">
        <f t="shared" si="1"/>
        <v>101802</v>
      </c>
      <c r="V5" s="41"/>
      <c r="W5" s="5"/>
      <c r="X5" s="5"/>
      <c r="Y5" s="5"/>
      <c r="Z5" s="5"/>
    </row>
    <row r="6">
      <c r="A6" s="41" t="s">
        <v>469</v>
      </c>
      <c r="B6" s="52" t="s">
        <v>470</v>
      </c>
      <c r="C6" s="53">
        <v>-4869.0</v>
      </c>
      <c r="D6" s="53">
        <v>-5385.0</v>
      </c>
      <c r="E6" s="53">
        <v>-5949.0</v>
      </c>
      <c r="F6" s="53">
        <v>-7336.0</v>
      </c>
      <c r="G6" s="53">
        <v>-5895.0</v>
      </c>
      <c r="H6" s="53">
        <v>-5680.0</v>
      </c>
      <c r="I6" s="53">
        <v>-6944.0</v>
      </c>
      <c r="J6" s="53">
        <v>-6772.0</v>
      </c>
      <c r="K6" s="53">
        <v>-6444.0</v>
      </c>
      <c r="L6" s="53">
        <v>-7572.0</v>
      </c>
      <c r="M6" s="53">
        <v>-10444.0</v>
      </c>
      <c r="N6" s="53">
        <v>-10547.0</v>
      </c>
      <c r="O6" s="53">
        <v>-9208.0</v>
      </c>
      <c r="P6" s="53">
        <v>-11324.0</v>
      </c>
      <c r="Q6" s="53">
        <v>-10743.0</v>
      </c>
      <c r="R6" s="53">
        <v>-13325.0</v>
      </c>
      <c r="S6" s="53">
        <v>-8882.0</v>
      </c>
      <c r="T6" s="53">
        <v>-7329.0</v>
      </c>
      <c r="U6" s="53">
        <v>-7375.0</v>
      </c>
      <c r="V6" s="41"/>
      <c r="W6" s="5"/>
      <c r="X6" s="5"/>
      <c r="Y6" s="5"/>
      <c r="Z6" s="5"/>
    </row>
    <row r="7">
      <c r="A7" s="41" t="s">
        <v>123</v>
      </c>
      <c r="B7" s="52" t="s">
        <v>124</v>
      </c>
      <c r="C7" s="53">
        <v>-4499.0</v>
      </c>
      <c r="D7" s="53">
        <v>-5823.0</v>
      </c>
      <c r="E7" s="53">
        <v>-5865.0</v>
      </c>
      <c r="F7" s="53">
        <v>-7972.0</v>
      </c>
      <c r="G7" s="53">
        <v>-6722.0</v>
      </c>
      <c r="H7" s="53">
        <v>-6180.0</v>
      </c>
      <c r="I7" s="53">
        <v>-10038.0</v>
      </c>
      <c r="J7" s="53">
        <v>-8384.0</v>
      </c>
      <c r="K7" s="53">
        <v>-9384.0</v>
      </c>
      <c r="L7" s="53">
        <v>-9032.0</v>
      </c>
      <c r="M7" s="53">
        <v>-13202.0</v>
      </c>
      <c r="N7" s="53">
        <v>-17710.0</v>
      </c>
      <c r="O7" s="53">
        <v>-13526.0</v>
      </c>
      <c r="P7" s="53">
        <v>-8251.0</v>
      </c>
      <c r="Q7" s="53">
        <v>-8620.0</v>
      </c>
      <c r="R7" s="53">
        <v>-9318.0</v>
      </c>
      <c r="S7" s="53">
        <v>-7568.0</v>
      </c>
      <c r="T7" s="53">
        <v>-8997.0</v>
      </c>
      <c r="U7" s="53">
        <v>-9658.0</v>
      </c>
      <c r="V7" s="41"/>
      <c r="W7" s="5"/>
      <c r="X7" s="5"/>
      <c r="Y7" s="5"/>
      <c r="Z7" s="5"/>
    </row>
    <row r="8">
      <c r="A8" s="41" t="s">
        <v>125</v>
      </c>
      <c r="B8" s="52" t="s">
        <v>95</v>
      </c>
      <c r="C8" s="53">
        <v>-1818.0</v>
      </c>
      <c r="D8" s="53">
        <v>-4092.0</v>
      </c>
      <c r="E8" s="53">
        <v>-4337.0</v>
      </c>
      <c r="F8" s="53">
        <v>-5399.0</v>
      </c>
      <c r="G8" s="53">
        <v>-10227.0</v>
      </c>
      <c r="H8" s="53">
        <v>-7271.0</v>
      </c>
      <c r="I8" s="53">
        <v>-7018.0</v>
      </c>
      <c r="J8" s="53">
        <v>-16007.0</v>
      </c>
      <c r="K8" s="53">
        <v>-8290.0</v>
      </c>
      <c r="L8" s="53">
        <v>-6758.0</v>
      </c>
      <c r="M8" s="53">
        <v>-9683.0</v>
      </c>
      <c r="N8" s="53">
        <v>-8541.0</v>
      </c>
      <c r="O8" s="53">
        <v>-7203.0</v>
      </c>
      <c r="P8" s="53">
        <v>-8580.0</v>
      </c>
      <c r="Q8" s="53">
        <v>-7562.0</v>
      </c>
      <c r="R8" s="53">
        <v>-7262.0</v>
      </c>
      <c r="S8" s="53">
        <v>-7103.0</v>
      </c>
      <c r="T8" s="53">
        <v>-8511.0</v>
      </c>
      <c r="U8" s="53">
        <v>-9930.0</v>
      </c>
      <c r="V8" s="41"/>
      <c r="W8" s="5"/>
      <c r="X8" s="5"/>
      <c r="Y8" s="5"/>
      <c r="Z8" s="5"/>
    </row>
    <row r="9">
      <c r="A9" s="41" t="s">
        <v>471</v>
      </c>
      <c r="B9" s="52" t="s">
        <v>472</v>
      </c>
      <c r="C9" s="53">
        <v>-18033.0</v>
      </c>
      <c r="D9" s="53">
        <v>-19946.0</v>
      </c>
      <c r="E9" s="53">
        <v>-23276.0</v>
      </c>
      <c r="F9" s="53">
        <v>-26084.0</v>
      </c>
      <c r="G9" s="53">
        <v>-19421.0</v>
      </c>
      <c r="H9" s="53">
        <v>-24104.0</v>
      </c>
      <c r="I9" s="53">
        <v>-30231.0</v>
      </c>
      <c r="J9" s="53">
        <v>-25799.0</v>
      </c>
      <c r="K9" s="53">
        <v>-26409.0</v>
      </c>
      <c r="L9" s="53">
        <v>-27202.0</v>
      </c>
      <c r="M9" s="53">
        <v>-40299.0</v>
      </c>
      <c r="N9" s="53">
        <v>-33981.0</v>
      </c>
      <c r="O9" s="53">
        <v>-33598.0</v>
      </c>
      <c r="P9" s="53">
        <v>-41359.0</v>
      </c>
      <c r="Q9" s="53">
        <v>-42913.0</v>
      </c>
      <c r="R9" s="53">
        <v>-42057.932</v>
      </c>
      <c r="S9" s="53">
        <v>-43362.0</v>
      </c>
      <c r="T9" s="53">
        <v>-45254.0</v>
      </c>
      <c r="U9" s="53">
        <v>-49323.0</v>
      </c>
      <c r="V9" s="41"/>
      <c r="W9" s="5"/>
      <c r="X9" s="5"/>
      <c r="Y9" s="5"/>
      <c r="Z9" s="5"/>
    </row>
    <row r="10">
      <c r="A10" s="41" t="s">
        <v>186</v>
      </c>
      <c r="B10" s="52" t="s">
        <v>187</v>
      </c>
      <c r="C10" s="53">
        <v>0.0</v>
      </c>
      <c r="D10" s="53">
        <v>0.0</v>
      </c>
      <c r="E10" s="53">
        <v>0.0</v>
      </c>
      <c r="F10" s="53">
        <v>0.0</v>
      </c>
      <c r="G10" s="53">
        <v>0.0</v>
      </c>
      <c r="H10" s="53">
        <v>0.0</v>
      </c>
      <c r="I10" s="53">
        <v>0.0</v>
      </c>
      <c r="J10" s="53">
        <v>0.0</v>
      </c>
      <c r="K10" s="53">
        <v>0.0</v>
      </c>
      <c r="L10" s="53">
        <v>0.0</v>
      </c>
      <c r="M10" s="53">
        <v>0.0</v>
      </c>
      <c r="N10" s="53">
        <v>0.0</v>
      </c>
      <c r="O10" s="53">
        <v>0.0</v>
      </c>
      <c r="P10" s="53">
        <v>0.0</v>
      </c>
      <c r="Q10" s="53">
        <v>0.0</v>
      </c>
      <c r="R10" s="53">
        <v>0.0</v>
      </c>
      <c r="S10" s="53">
        <v>0.0</v>
      </c>
      <c r="T10" s="53">
        <v>0.0</v>
      </c>
      <c r="U10" s="53">
        <v>0.0</v>
      </c>
      <c r="V10" s="41"/>
      <c r="W10" s="5"/>
      <c r="X10" s="5"/>
      <c r="Y10" s="5"/>
      <c r="Z10" s="5"/>
    </row>
    <row r="11">
      <c r="A11" s="49" t="s">
        <v>473</v>
      </c>
      <c r="B11" s="50" t="s">
        <v>474</v>
      </c>
      <c r="C11" s="51">
        <f t="shared" ref="C11:U11" si="2">SUM(C5,C6,C7,C8,C9,C10)</f>
        <v>13039</v>
      </c>
      <c r="D11" s="51">
        <f t="shared" si="2"/>
        <v>8413</v>
      </c>
      <c r="E11" s="51">
        <f t="shared" si="2"/>
        <v>8580</v>
      </c>
      <c r="F11" s="51">
        <f t="shared" si="2"/>
        <v>17754</v>
      </c>
      <c r="G11" s="51">
        <f t="shared" si="2"/>
        <v>4850</v>
      </c>
      <c r="H11" s="51">
        <f t="shared" si="2"/>
        <v>8640</v>
      </c>
      <c r="I11" s="51">
        <f t="shared" si="2"/>
        <v>18448</v>
      </c>
      <c r="J11" s="51">
        <f t="shared" si="2"/>
        <v>18502</v>
      </c>
      <c r="K11" s="51">
        <f t="shared" si="2"/>
        <v>3942</v>
      </c>
      <c r="L11" s="51">
        <f t="shared" si="2"/>
        <v>-3078</v>
      </c>
      <c r="M11" s="51">
        <f t="shared" si="2"/>
        <v>24206</v>
      </c>
      <c r="N11" s="51">
        <f t="shared" si="2"/>
        <v>2288</v>
      </c>
      <c r="O11" s="51">
        <f t="shared" si="2"/>
        <v>-541</v>
      </c>
      <c r="P11" s="51">
        <f t="shared" si="2"/>
        <v>328</v>
      </c>
      <c r="Q11" s="51">
        <f t="shared" si="2"/>
        <v>8564</v>
      </c>
      <c r="R11" s="51">
        <f t="shared" si="2"/>
        <v>24305.068</v>
      </c>
      <c r="S11" s="51">
        <f t="shared" si="2"/>
        <v>12550</v>
      </c>
      <c r="T11" s="51">
        <f t="shared" si="2"/>
        <v>2374</v>
      </c>
      <c r="U11" s="51">
        <f t="shared" si="2"/>
        <v>25516</v>
      </c>
      <c r="V11" s="41"/>
      <c r="W11" s="5"/>
      <c r="X11" s="5"/>
      <c r="Y11" s="5"/>
      <c r="Z11" s="5"/>
    </row>
    <row r="12">
      <c r="A12" s="54" t="s">
        <v>475</v>
      </c>
      <c r="B12" s="54" t="s">
        <v>476</v>
      </c>
      <c r="C12" s="55">
        <f t="shared" ref="C12:U12" si="3">C11/C5</f>
        <v>0.3085569596</v>
      </c>
      <c r="D12" s="55">
        <f t="shared" si="3"/>
        <v>0.1926979546</v>
      </c>
      <c r="E12" s="55">
        <f t="shared" si="3"/>
        <v>0.1787239361</v>
      </c>
      <c r="F12" s="55">
        <f t="shared" si="3"/>
        <v>0.2750639089</v>
      </c>
      <c r="G12" s="55">
        <f t="shared" si="3"/>
        <v>0.1029396158</v>
      </c>
      <c r="H12" s="55">
        <f t="shared" si="3"/>
        <v>0.1665542169</v>
      </c>
      <c r="I12" s="55">
        <f t="shared" si="3"/>
        <v>0.2538284787</v>
      </c>
      <c r="J12" s="55">
        <f t="shared" si="3"/>
        <v>0.245176508</v>
      </c>
      <c r="K12" s="55">
        <f t="shared" si="3"/>
        <v>0.07237144064</v>
      </c>
      <c r="L12" s="55">
        <f t="shared" si="3"/>
        <v>-0.06481910458</v>
      </c>
      <c r="M12" s="55">
        <f t="shared" si="3"/>
        <v>0.2474190977</v>
      </c>
      <c r="N12" s="55">
        <f t="shared" si="3"/>
        <v>0.03131372576</v>
      </c>
      <c r="O12" s="55">
        <f t="shared" si="3"/>
        <v>-0.008588119503</v>
      </c>
      <c r="P12" s="55">
        <f t="shared" si="3"/>
        <v>0.004696314539</v>
      </c>
      <c r="Q12" s="55">
        <f t="shared" si="3"/>
        <v>0.1092319073</v>
      </c>
      <c r="R12" s="55">
        <f t="shared" si="3"/>
        <v>0.2524729713</v>
      </c>
      <c r="S12" s="55">
        <f t="shared" si="3"/>
        <v>0.1579311647</v>
      </c>
      <c r="T12" s="55">
        <f t="shared" si="3"/>
        <v>0.03276064307</v>
      </c>
      <c r="U12" s="55">
        <f t="shared" si="3"/>
        <v>0.2506434058</v>
      </c>
      <c r="V12" s="41"/>
      <c r="W12" s="5"/>
      <c r="X12" s="5"/>
      <c r="Y12" s="5"/>
      <c r="Z12" s="5"/>
    </row>
    <row r="13">
      <c r="A13" s="41" t="s">
        <v>184</v>
      </c>
      <c r="B13" s="52" t="s">
        <v>185</v>
      </c>
      <c r="C13" s="53">
        <v>-15173.0</v>
      </c>
      <c r="D13" s="53">
        <v>-15236.0</v>
      </c>
      <c r="E13" s="53">
        <v>-15696.0</v>
      </c>
      <c r="F13" s="53">
        <v>-15831.0</v>
      </c>
      <c r="G13" s="53">
        <v>-14680.0</v>
      </c>
      <c r="H13" s="53">
        <v>-11276.0</v>
      </c>
      <c r="I13" s="53">
        <v>-10110.0</v>
      </c>
      <c r="J13" s="53">
        <v>-10519.0</v>
      </c>
      <c r="K13" s="53">
        <v>-10593.0</v>
      </c>
      <c r="L13" s="53">
        <v>-10195.0</v>
      </c>
      <c r="M13" s="53">
        <v>-10095.0</v>
      </c>
      <c r="N13" s="53">
        <v>-10067.0</v>
      </c>
      <c r="O13" s="53">
        <v>-9452.0</v>
      </c>
      <c r="P13" s="53">
        <v>-9227.0</v>
      </c>
      <c r="Q13" s="53">
        <v>-9222.0</v>
      </c>
      <c r="R13" s="53">
        <v>-10197.0</v>
      </c>
      <c r="S13" s="53">
        <v>-3190.0</v>
      </c>
      <c r="T13" s="53">
        <v>-3193.0</v>
      </c>
      <c r="U13" s="53">
        <v>-3191.0</v>
      </c>
      <c r="V13" s="41"/>
      <c r="W13" s="5"/>
      <c r="X13" s="5"/>
      <c r="Y13" s="5"/>
      <c r="Z13" s="5"/>
    </row>
    <row r="14">
      <c r="A14" s="41" t="s">
        <v>190</v>
      </c>
      <c r="B14" s="52" t="s">
        <v>191</v>
      </c>
      <c r="C14" s="53">
        <v>-286.0</v>
      </c>
      <c r="D14" s="53">
        <v>-266.0</v>
      </c>
      <c r="E14" s="53">
        <v>-570.0</v>
      </c>
      <c r="F14" s="53">
        <v>-544.0</v>
      </c>
      <c r="G14" s="53">
        <v>-94.0</v>
      </c>
      <c r="H14" s="53">
        <v>-156.0</v>
      </c>
      <c r="I14" s="53">
        <v>423.0</v>
      </c>
      <c r="J14" s="53">
        <v>145.0</v>
      </c>
      <c r="K14" s="53">
        <v>134.0</v>
      </c>
      <c r="L14" s="53">
        <v>702.0</v>
      </c>
      <c r="M14" s="53">
        <v>3758.0</v>
      </c>
      <c r="N14" s="53">
        <v>4767.0</v>
      </c>
      <c r="O14" s="53">
        <v>4225.0</v>
      </c>
      <c r="P14" s="53">
        <v>3588.0</v>
      </c>
      <c r="Q14" s="53">
        <v>3408.0</v>
      </c>
      <c r="R14" s="53">
        <v>2437.0</v>
      </c>
      <c r="S14" s="53">
        <v>1870.0</v>
      </c>
      <c r="T14" s="53">
        <v>2952.0</v>
      </c>
      <c r="U14" s="53">
        <v>3076.0</v>
      </c>
      <c r="V14" s="41"/>
      <c r="W14" s="5"/>
      <c r="X14" s="5"/>
      <c r="Y14" s="5"/>
      <c r="Z14" s="5"/>
    </row>
    <row r="15">
      <c r="A15" s="41" t="s">
        <v>477</v>
      </c>
      <c r="B15" s="52" t="s">
        <v>478</v>
      </c>
      <c r="C15" s="53">
        <v>-822.0</v>
      </c>
      <c r="D15" s="53">
        <v>652.0</v>
      </c>
      <c r="E15" s="53">
        <v>254.0</v>
      </c>
      <c r="F15" s="53">
        <v>-4950.0</v>
      </c>
      <c r="G15" s="53">
        <v>-793.0</v>
      </c>
      <c r="H15" s="53">
        <v>-861.0</v>
      </c>
      <c r="I15" s="53">
        <v>4631.0</v>
      </c>
      <c r="J15" s="53">
        <v>-4240.0</v>
      </c>
      <c r="K15" s="53">
        <v>923.0</v>
      </c>
      <c r="L15" s="53">
        <v>4636.0</v>
      </c>
      <c r="M15" s="53">
        <v>-6410.0</v>
      </c>
      <c r="N15" s="53">
        <v>603.0</v>
      </c>
      <c r="O15" s="53">
        <v>-1008.6400000000001</v>
      </c>
      <c r="P15" s="53">
        <v>-1810.0</v>
      </c>
      <c r="Q15" s="53">
        <v>1366.0</v>
      </c>
      <c r="R15" s="53">
        <v>-6239.74312</v>
      </c>
      <c r="S15" s="53">
        <v>-5282.0</v>
      </c>
      <c r="T15" s="53">
        <v>-1826.0</v>
      </c>
      <c r="U15" s="53">
        <v>-10598.0</v>
      </c>
      <c r="V15" s="41"/>
      <c r="W15" s="5"/>
      <c r="X15" s="5"/>
      <c r="Y15" s="5"/>
      <c r="Z15" s="5"/>
    </row>
    <row r="16">
      <c r="A16" s="41" t="s">
        <v>252</v>
      </c>
      <c r="B16" s="52" t="s">
        <v>253</v>
      </c>
      <c r="C16" s="53">
        <v>9598.380000000001</v>
      </c>
      <c r="D16" s="53">
        <v>9598.380000000001</v>
      </c>
      <c r="E16" s="53">
        <v>9598.380000000001</v>
      </c>
      <c r="F16" s="53">
        <v>9598.380000000001</v>
      </c>
      <c r="G16" s="53">
        <v>8099.52</v>
      </c>
      <c r="H16" s="53">
        <v>6239.64</v>
      </c>
      <c r="I16" s="53">
        <v>5227.2</v>
      </c>
      <c r="J16" s="53">
        <v>5227.2</v>
      </c>
      <c r="K16" s="53">
        <v>5227.2</v>
      </c>
      <c r="L16" s="53">
        <v>5227.2</v>
      </c>
      <c r="M16" s="53">
        <v>5227.2</v>
      </c>
      <c r="N16" s="53">
        <v>5227.2</v>
      </c>
      <c r="O16" s="53">
        <v>5227.2</v>
      </c>
      <c r="P16" s="53">
        <v>5227.2</v>
      </c>
      <c r="Q16" s="53">
        <v>5227.2</v>
      </c>
      <c r="R16" s="53">
        <v>5227.2</v>
      </c>
      <c r="S16" s="53">
        <v>1247.4</v>
      </c>
      <c r="T16" s="53">
        <v>1247.4</v>
      </c>
      <c r="U16" s="53">
        <v>1247.4</v>
      </c>
      <c r="V16" s="41"/>
      <c r="W16" s="5"/>
      <c r="X16" s="5"/>
      <c r="Y16" s="5"/>
      <c r="Z16" s="5"/>
    </row>
    <row r="17">
      <c r="A17" s="49" t="s">
        <v>479</v>
      </c>
      <c r="B17" s="50" t="s">
        <v>480</v>
      </c>
      <c r="C17" s="51">
        <f t="shared" ref="C17:U17" si="4">C11+C13+C14+C15+C16</f>
        <v>6356.38</v>
      </c>
      <c r="D17" s="51">
        <f t="shared" si="4"/>
        <v>3161.38</v>
      </c>
      <c r="E17" s="51">
        <f t="shared" si="4"/>
        <v>2166.38</v>
      </c>
      <c r="F17" s="51">
        <f t="shared" si="4"/>
        <v>6027.38</v>
      </c>
      <c r="G17" s="51">
        <f t="shared" si="4"/>
        <v>-2617.48</v>
      </c>
      <c r="H17" s="51">
        <f t="shared" si="4"/>
        <v>2586.64</v>
      </c>
      <c r="I17" s="51">
        <f t="shared" si="4"/>
        <v>18619.2</v>
      </c>
      <c r="J17" s="51">
        <f t="shared" si="4"/>
        <v>9115.2</v>
      </c>
      <c r="K17" s="51">
        <f t="shared" si="4"/>
        <v>-366.8</v>
      </c>
      <c r="L17" s="51">
        <f t="shared" si="4"/>
        <v>-2707.8</v>
      </c>
      <c r="M17" s="51">
        <f t="shared" si="4"/>
        <v>16686.2</v>
      </c>
      <c r="N17" s="51">
        <f t="shared" si="4"/>
        <v>2818.2</v>
      </c>
      <c r="O17" s="51">
        <f t="shared" si="4"/>
        <v>-1549.44</v>
      </c>
      <c r="P17" s="51">
        <f t="shared" si="4"/>
        <v>-1893.8</v>
      </c>
      <c r="Q17" s="51">
        <f t="shared" si="4"/>
        <v>9343.2</v>
      </c>
      <c r="R17" s="51">
        <f t="shared" si="4"/>
        <v>15532.52488</v>
      </c>
      <c r="S17" s="51">
        <f t="shared" si="4"/>
        <v>7195.4</v>
      </c>
      <c r="T17" s="51">
        <f t="shared" si="4"/>
        <v>1554.4</v>
      </c>
      <c r="U17" s="51">
        <f t="shared" si="4"/>
        <v>16050.4</v>
      </c>
      <c r="V17" s="41"/>
      <c r="W17" s="5"/>
      <c r="X17" s="5"/>
      <c r="Y17" s="5"/>
      <c r="Z17" s="5"/>
    </row>
    <row r="18">
      <c r="A18" s="54" t="s">
        <v>481</v>
      </c>
      <c r="B18" s="54" t="s">
        <v>482</v>
      </c>
      <c r="C18" s="55">
        <f t="shared" ref="C18:U18" si="5">C17/C$5</f>
        <v>0.1504183823</v>
      </c>
      <c r="D18" s="55">
        <f t="shared" si="5"/>
        <v>0.0724107286</v>
      </c>
      <c r="E18" s="55">
        <f t="shared" si="5"/>
        <v>0.04512633574</v>
      </c>
      <c r="F18" s="55">
        <f t="shared" si="5"/>
        <v>0.09338260129</v>
      </c>
      <c r="G18" s="55">
        <f t="shared" si="5"/>
        <v>-0.05555513106</v>
      </c>
      <c r="H18" s="55">
        <f t="shared" si="5"/>
        <v>0.04986293976</v>
      </c>
      <c r="I18" s="55">
        <f t="shared" si="5"/>
        <v>0.2561840422</v>
      </c>
      <c r="J18" s="55">
        <f t="shared" si="5"/>
        <v>0.1207887204</v>
      </c>
      <c r="K18" s="55">
        <f t="shared" si="5"/>
        <v>-0.006734105638</v>
      </c>
      <c r="L18" s="55">
        <f t="shared" si="5"/>
        <v>-0.0570231226</v>
      </c>
      <c r="M18" s="55">
        <f t="shared" si="5"/>
        <v>0.1705562483</v>
      </c>
      <c r="N18" s="55">
        <f t="shared" si="5"/>
        <v>0.03857007952</v>
      </c>
      <c r="O18" s="55">
        <f t="shared" si="5"/>
        <v>-0.02459662825</v>
      </c>
      <c r="P18" s="55">
        <f t="shared" si="5"/>
        <v>-0.02711548925</v>
      </c>
      <c r="Q18" s="55">
        <f t="shared" si="5"/>
        <v>0.1191704293</v>
      </c>
      <c r="R18" s="55">
        <f t="shared" si="5"/>
        <v>0.1613467079</v>
      </c>
      <c r="S18" s="55">
        <f t="shared" si="5"/>
        <v>0.09054804002</v>
      </c>
      <c r="T18" s="55">
        <f t="shared" si="5"/>
        <v>0.02145035534</v>
      </c>
      <c r="U18" s="55">
        <f t="shared" si="5"/>
        <v>0.1576629143</v>
      </c>
      <c r="V18" s="41"/>
      <c r="W18" s="5"/>
      <c r="X18" s="5"/>
      <c r="Y18" s="5"/>
      <c r="Z18" s="5"/>
    </row>
    <row r="19">
      <c r="A19" s="56" t="s">
        <v>138</v>
      </c>
      <c r="B19" s="57" t="s">
        <v>139</v>
      </c>
      <c r="C19" s="58">
        <f t="shared" ref="C19:U19" si="6">SUM(C20:C22)</f>
        <v>0</v>
      </c>
      <c r="D19" s="58">
        <f t="shared" si="6"/>
        <v>0</v>
      </c>
      <c r="E19" s="58">
        <f t="shared" si="6"/>
        <v>0</v>
      </c>
      <c r="F19" s="58">
        <f t="shared" si="6"/>
        <v>0</v>
      </c>
      <c r="G19" s="58">
        <f t="shared" si="6"/>
        <v>0</v>
      </c>
      <c r="H19" s="58">
        <f t="shared" si="6"/>
        <v>0</v>
      </c>
      <c r="I19" s="58">
        <f t="shared" si="6"/>
        <v>0</v>
      </c>
      <c r="J19" s="58">
        <f t="shared" si="6"/>
        <v>0</v>
      </c>
      <c r="K19" s="58">
        <f t="shared" si="6"/>
        <v>0</v>
      </c>
      <c r="L19" s="58">
        <f t="shared" si="6"/>
        <v>0</v>
      </c>
      <c r="M19" s="58">
        <f t="shared" si="6"/>
        <v>0</v>
      </c>
      <c r="N19" s="58">
        <f t="shared" si="6"/>
        <v>0</v>
      </c>
      <c r="O19" s="58">
        <f t="shared" si="6"/>
        <v>-2646</v>
      </c>
      <c r="P19" s="58">
        <f t="shared" si="6"/>
        <v>0</v>
      </c>
      <c r="Q19" s="58">
        <f t="shared" si="6"/>
        <v>0</v>
      </c>
      <c r="R19" s="58">
        <f t="shared" si="6"/>
        <v>-2908.068</v>
      </c>
      <c r="S19" s="58">
        <f t="shared" si="6"/>
        <v>0</v>
      </c>
      <c r="T19" s="58">
        <f t="shared" si="6"/>
        <v>0</v>
      </c>
      <c r="U19" s="58">
        <f t="shared" si="6"/>
        <v>0</v>
      </c>
      <c r="V19" s="41"/>
      <c r="W19" s="5"/>
      <c r="X19" s="5"/>
      <c r="Y19" s="5"/>
      <c r="Z19" s="5"/>
    </row>
    <row r="20">
      <c r="A20" s="41" t="s">
        <v>148</v>
      </c>
      <c r="B20" s="52" t="s">
        <v>149</v>
      </c>
      <c r="C20" s="53">
        <v>0.0</v>
      </c>
      <c r="D20" s="53">
        <v>0.0</v>
      </c>
      <c r="E20" s="53">
        <v>0.0</v>
      </c>
      <c r="F20" s="53">
        <v>0.0</v>
      </c>
      <c r="G20" s="53">
        <v>0.0</v>
      </c>
      <c r="H20" s="53">
        <v>0.0</v>
      </c>
      <c r="I20" s="53">
        <v>0.0</v>
      </c>
      <c r="J20" s="53">
        <v>0.0</v>
      </c>
      <c r="K20" s="53">
        <v>0.0</v>
      </c>
      <c r="L20" s="53">
        <v>0.0</v>
      </c>
      <c r="M20" s="53">
        <v>0.0</v>
      </c>
      <c r="N20" s="53">
        <v>0.0</v>
      </c>
      <c r="O20" s="53">
        <v>0.0</v>
      </c>
      <c r="P20" s="53">
        <v>0.0</v>
      </c>
      <c r="Q20" s="53">
        <v>0.0</v>
      </c>
      <c r="R20" s="53">
        <v>-2518.068</v>
      </c>
      <c r="S20" s="53">
        <v>0.0</v>
      </c>
      <c r="T20" s="53">
        <v>0.0</v>
      </c>
      <c r="U20" s="53">
        <v>0.0</v>
      </c>
      <c r="V20" s="41"/>
      <c r="W20" s="5"/>
      <c r="X20" s="5"/>
      <c r="Y20" s="5"/>
      <c r="Z20" s="5"/>
    </row>
    <row r="21" ht="15.75" customHeight="1">
      <c r="A21" s="41" t="s">
        <v>154</v>
      </c>
      <c r="B21" s="52" t="s">
        <v>155</v>
      </c>
      <c r="C21" s="53">
        <v>0.0</v>
      </c>
      <c r="D21" s="53">
        <v>0.0</v>
      </c>
      <c r="E21" s="53">
        <v>0.0</v>
      </c>
      <c r="F21" s="53">
        <v>0.0</v>
      </c>
      <c r="G21" s="53">
        <v>0.0</v>
      </c>
      <c r="H21" s="53">
        <v>0.0</v>
      </c>
      <c r="I21" s="53">
        <v>0.0</v>
      </c>
      <c r="J21" s="53">
        <v>0.0</v>
      </c>
      <c r="K21" s="53">
        <v>0.0</v>
      </c>
      <c r="L21" s="53">
        <v>0.0</v>
      </c>
      <c r="M21" s="53">
        <v>0.0</v>
      </c>
      <c r="N21" s="53">
        <v>0.0</v>
      </c>
      <c r="O21" s="53">
        <v>-2646.0</v>
      </c>
      <c r="P21" s="53">
        <v>0.0</v>
      </c>
      <c r="Q21" s="53">
        <v>0.0</v>
      </c>
      <c r="R21" s="53">
        <v>0.0</v>
      </c>
      <c r="S21" s="53">
        <v>0.0</v>
      </c>
      <c r="T21" s="53">
        <v>0.0</v>
      </c>
      <c r="U21" s="53">
        <v>0.0</v>
      </c>
      <c r="V21" s="41"/>
      <c r="W21" s="5"/>
      <c r="X21" s="5"/>
      <c r="Y21" s="5"/>
      <c r="Z21" s="5"/>
    </row>
    <row r="22" ht="15.75" customHeight="1">
      <c r="A22" s="41" t="s">
        <v>156</v>
      </c>
      <c r="B22" s="52" t="s">
        <v>157</v>
      </c>
      <c r="C22" s="53">
        <v>0.0</v>
      </c>
      <c r="D22" s="53">
        <v>0.0</v>
      </c>
      <c r="E22" s="53">
        <v>0.0</v>
      </c>
      <c r="F22" s="53">
        <v>0.0</v>
      </c>
      <c r="G22" s="53">
        <v>0.0</v>
      </c>
      <c r="H22" s="53">
        <v>0.0</v>
      </c>
      <c r="I22" s="53">
        <v>0.0</v>
      </c>
      <c r="J22" s="53">
        <v>0.0</v>
      </c>
      <c r="K22" s="53">
        <v>0.0</v>
      </c>
      <c r="L22" s="53">
        <v>0.0</v>
      </c>
      <c r="M22" s="53">
        <v>0.0</v>
      </c>
      <c r="N22" s="53">
        <v>0.0</v>
      </c>
      <c r="O22" s="53">
        <v>0.0</v>
      </c>
      <c r="P22" s="53">
        <v>0.0</v>
      </c>
      <c r="Q22" s="53">
        <v>0.0</v>
      </c>
      <c r="R22" s="53">
        <v>-390.0</v>
      </c>
      <c r="S22" s="53">
        <v>0.0</v>
      </c>
      <c r="T22" s="53">
        <v>0.0</v>
      </c>
      <c r="U22" s="53">
        <v>0.0</v>
      </c>
      <c r="V22" s="41"/>
      <c r="W22" s="5"/>
      <c r="X22" s="5"/>
      <c r="Y22" s="5"/>
      <c r="Z22" s="5"/>
    </row>
    <row r="23" ht="15.75" customHeight="1">
      <c r="A23" s="56" t="s">
        <v>483</v>
      </c>
      <c r="B23" s="56" t="s">
        <v>484</v>
      </c>
      <c r="C23" s="53">
        <f t="shared" ref="C23:U23" si="7">C19*-34%</f>
        <v>0</v>
      </c>
      <c r="D23" s="53">
        <f t="shared" si="7"/>
        <v>0</v>
      </c>
      <c r="E23" s="53">
        <f t="shared" si="7"/>
        <v>0</v>
      </c>
      <c r="F23" s="53">
        <f t="shared" si="7"/>
        <v>0</v>
      </c>
      <c r="G23" s="53">
        <f t="shared" si="7"/>
        <v>0</v>
      </c>
      <c r="H23" s="53">
        <f t="shared" si="7"/>
        <v>0</v>
      </c>
      <c r="I23" s="53">
        <f t="shared" si="7"/>
        <v>0</v>
      </c>
      <c r="J23" s="53">
        <f t="shared" si="7"/>
        <v>0</v>
      </c>
      <c r="K23" s="53">
        <f t="shared" si="7"/>
        <v>0</v>
      </c>
      <c r="L23" s="53">
        <f t="shared" si="7"/>
        <v>0</v>
      </c>
      <c r="M23" s="53">
        <f t="shared" si="7"/>
        <v>0</v>
      </c>
      <c r="N23" s="53">
        <f t="shared" si="7"/>
        <v>0</v>
      </c>
      <c r="O23" s="53">
        <f t="shared" si="7"/>
        <v>899.64</v>
      </c>
      <c r="P23" s="53">
        <f t="shared" si="7"/>
        <v>0</v>
      </c>
      <c r="Q23" s="53">
        <f t="shared" si="7"/>
        <v>0</v>
      </c>
      <c r="R23" s="53">
        <f t="shared" si="7"/>
        <v>988.74312</v>
      </c>
      <c r="S23" s="53">
        <f t="shared" si="7"/>
        <v>0</v>
      </c>
      <c r="T23" s="53">
        <f t="shared" si="7"/>
        <v>0</v>
      </c>
      <c r="U23" s="53">
        <f t="shared" si="7"/>
        <v>0</v>
      </c>
      <c r="V23" s="41"/>
      <c r="W23" s="5"/>
      <c r="X23" s="5"/>
      <c r="Y23" s="5"/>
      <c r="Z23" s="5"/>
    </row>
    <row r="24" ht="15.75" customHeight="1">
      <c r="A24" s="56" t="s">
        <v>252</v>
      </c>
      <c r="B24" s="56" t="s">
        <v>253</v>
      </c>
      <c r="C24" s="58">
        <f t="shared" ref="C24:U24" si="8">-C16</f>
        <v>-9598.38</v>
      </c>
      <c r="D24" s="58">
        <f t="shared" si="8"/>
        <v>-9598.38</v>
      </c>
      <c r="E24" s="58">
        <f t="shared" si="8"/>
        <v>-9598.38</v>
      </c>
      <c r="F24" s="58">
        <f t="shared" si="8"/>
        <v>-9598.38</v>
      </c>
      <c r="G24" s="58">
        <f t="shared" si="8"/>
        <v>-8099.52</v>
      </c>
      <c r="H24" s="58">
        <f t="shared" si="8"/>
        <v>-6239.64</v>
      </c>
      <c r="I24" s="58">
        <f t="shared" si="8"/>
        <v>-5227.2</v>
      </c>
      <c r="J24" s="58">
        <f t="shared" si="8"/>
        <v>-5227.2</v>
      </c>
      <c r="K24" s="58">
        <f t="shared" si="8"/>
        <v>-5227.2</v>
      </c>
      <c r="L24" s="58">
        <f t="shared" si="8"/>
        <v>-5227.2</v>
      </c>
      <c r="M24" s="58">
        <f t="shared" si="8"/>
        <v>-5227.2</v>
      </c>
      <c r="N24" s="58">
        <f t="shared" si="8"/>
        <v>-5227.2</v>
      </c>
      <c r="O24" s="58">
        <f t="shared" si="8"/>
        <v>-5227.2</v>
      </c>
      <c r="P24" s="58">
        <f t="shared" si="8"/>
        <v>-5227.2</v>
      </c>
      <c r="Q24" s="58">
        <f t="shared" si="8"/>
        <v>-5227.2</v>
      </c>
      <c r="R24" s="58">
        <f t="shared" si="8"/>
        <v>-5227.2</v>
      </c>
      <c r="S24" s="58">
        <f t="shared" si="8"/>
        <v>-1247.4</v>
      </c>
      <c r="T24" s="58">
        <f t="shared" si="8"/>
        <v>-1247.4</v>
      </c>
      <c r="U24" s="58">
        <f t="shared" si="8"/>
        <v>-1247.4</v>
      </c>
      <c r="V24" s="41"/>
      <c r="W24" s="5"/>
      <c r="X24" s="5"/>
      <c r="Y24" s="5"/>
      <c r="Z24" s="5"/>
    </row>
    <row r="25" ht="15.75" customHeight="1">
      <c r="A25" s="49" t="s">
        <v>485</v>
      </c>
      <c r="B25" s="50" t="s">
        <v>486</v>
      </c>
      <c r="C25" s="51">
        <f t="shared" ref="C25:U25" si="9">C17+C19+C23+C24</f>
        <v>-3242</v>
      </c>
      <c r="D25" s="51">
        <f t="shared" si="9"/>
        <v>-6437</v>
      </c>
      <c r="E25" s="51">
        <f t="shared" si="9"/>
        <v>-7432</v>
      </c>
      <c r="F25" s="51">
        <f t="shared" si="9"/>
        <v>-3571</v>
      </c>
      <c r="G25" s="51">
        <f t="shared" si="9"/>
        <v>-10717</v>
      </c>
      <c r="H25" s="51">
        <f t="shared" si="9"/>
        <v>-3653</v>
      </c>
      <c r="I25" s="51">
        <f t="shared" si="9"/>
        <v>13392</v>
      </c>
      <c r="J25" s="51">
        <f t="shared" si="9"/>
        <v>3888</v>
      </c>
      <c r="K25" s="51">
        <f t="shared" si="9"/>
        <v>-5594</v>
      </c>
      <c r="L25" s="51">
        <f t="shared" si="9"/>
        <v>-7935</v>
      </c>
      <c r="M25" s="51">
        <f t="shared" si="9"/>
        <v>11459</v>
      </c>
      <c r="N25" s="51">
        <f t="shared" si="9"/>
        <v>-2409</v>
      </c>
      <c r="O25" s="51">
        <f t="shared" si="9"/>
        <v>-8523</v>
      </c>
      <c r="P25" s="51">
        <f t="shared" si="9"/>
        <v>-7121</v>
      </c>
      <c r="Q25" s="51">
        <f t="shared" si="9"/>
        <v>4116</v>
      </c>
      <c r="R25" s="51">
        <f t="shared" si="9"/>
        <v>8386</v>
      </c>
      <c r="S25" s="51">
        <f t="shared" si="9"/>
        <v>5948</v>
      </c>
      <c r="T25" s="51">
        <f t="shared" si="9"/>
        <v>307</v>
      </c>
      <c r="U25" s="51">
        <f t="shared" si="9"/>
        <v>14803</v>
      </c>
      <c r="V25" s="41"/>
      <c r="W25" s="5"/>
      <c r="X25" s="5"/>
      <c r="Y25" s="5"/>
      <c r="Z25" s="5"/>
    </row>
    <row r="26" ht="15.75" customHeight="1">
      <c r="A26" s="54" t="s">
        <v>487</v>
      </c>
      <c r="B26" s="54" t="s">
        <v>488</v>
      </c>
      <c r="C26" s="55">
        <f t="shared" ref="C26:U26" si="10">C25/C$5</f>
        <v>-0.0767192011</v>
      </c>
      <c r="D26" s="55">
        <f t="shared" si="10"/>
        <v>-0.1474380998</v>
      </c>
      <c r="E26" s="55">
        <f t="shared" si="10"/>
        <v>-0.1548107568</v>
      </c>
      <c r="F26" s="55">
        <f t="shared" si="10"/>
        <v>-0.05532574173</v>
      </c>
      <c r="G26" s="55">
        <f t="shared" si="10"/>
        <v>-0.227464714</v>
      </c>
      <c r="H26" s="55">
        <f t="shared" si="10"/>
        <v>-0.07041927711</v>
      </c>
      <c r="I26" s="55">
        <f t="shared" si="10"/>
        <v>0.1842623041</v>
      </c>
      <c r="J26" s="55">
        <f t="shared" si="10"/>
        <v>0.05152125517</v>
      </c>
      <c r="K26" s="55">
        <f t="shared" si="10"/>
        <v>-0.1027006187</v>
      </c>
      <c r="L26" s="55">
        <f t="shared" si="10"/>
        <v>-0.1671018827</v>
      </c>
      <c r="M26" s="55">
        <f t="shared" si="10"/>
        <v>0.1171269702</v>
      </c>
      <c r="N26" s="55">
        <f t="shared" si="10"/>
        <v>-0.0329697401</v>
      </c>
      <c r="O26" s="55">
        <f t="shared" si="10"/>
        <v>-0.1352985999</v>
      </c>
      <c r="P26" s="55">
        <f t="shared" si="10"/>
        <v>-0.1019587068</v>
      </c>
      <c r="Q26" s="55">
        <f t="shared" si="10"/>
        <v>0.05249866075</v>
      </c>
      <c r="R26" s="55">
        <f t="shared" si="10"/>
        <v>0.08711098184</v>
      </c>
      <c r="S26" s="55">
        <f t="shared" si="10"/>
        <v>0.07485056314</v>
      </c>
      <c r="T26" s="55">
        <f t="shared" si="10"/>
        <v>0.004236527979</v>
      </c>
      <c r="U26" s="55">
        <f t="shared" si="10"/>
        <v>0.1454097169</v>
      </c>
      <c r="V26" s="41"/>
      <c r="W26" s="5"/>
      <c r="X26" s="5"/>
      <c r="Y26" s="5"/>
      <c r="Z26" s="5"/>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5"/>
      <c r="X27" s="5"/>
      <c r="Y27" s="5"/>
      <c r="Z27" s="5"/>
    </row>
    <row r="28" ht="15.75" customHeight="1">
      <c r="A28" s="41"/>
      <c r="B28" s="41"/>
      <c r="C28" s="58"/>
      <c r="D28" s="58"/>
      <c r="E28" s="58"/>
      <c r="F28" s="58"/>
      <c r="G28" s="58"/>
      <c r="H28" s="58"/>
      <c r="I28" s="58"/>
      <c r="J28" s="58"/>
      <c r="K28" s="58"/>
      <c r="L28" s="58"/>
      <c r="M28" s="41"/>
      <c r="N28" s="41"/>
      <c r="O28" s="41"/>
      <c r="P28" s="41"/>
      <c r="Q28" s="41"/>
      <c r="R28" s="41"/>
      <c r="S28" s="41"/>
      <c r="T28" s="41"/>
      <c r="U28" s="41"/>
      <c r="V28" s="41"/>
      <c r="W28" s="5"/>
      <c r="X28" s="5"/>
      <c r="Y28" s="5"/>
      <c r="Z28" s="5"/>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5"/>
      <c r="X29" s="5"/>
      <c r="Y29" s="5"/>
      <c r="Z29" s="5"/>
    </row>
    <row r="30" ht="15.75" customHeight="1">
      <c r="A30" s="41"/>
      <c r="B30" s="52"/>
      <c r="C30" s="53"/>
      <c r="D30" s="53"/>
      <c r="E30" s="53"/>
      <c r="F30" s="53"/>
      <c r="G30" s="53"/>
      <c r="H30" s="53"/>
      <c r="I30" s="53"/>
      <c r="J30" s="53"/>
      <c r="K30" s="53"/>
      <c r="L30" s="53"/>
      <c r="M30" s="53"/>
      <c r="N30" s="53"/>
      <c r="O30" s="53"/>
      <c r="P30" s="53"/>
      <c r="Q30" s="53"/>
      <c r="R30" s="53"/>
      <c r="S30" s="53"/>
      <c r="T30" s="53"/>
      <c r="U30" s="53"/>
      <c r="V30" s="41"/>
      <c r="W30" s="5"/>
      <c r="X30" s="5"/>
      <c r="Y30" s="5"/>
      <c r="Z30" s="5"/>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5"/>
      <c r="X31" s="5"/>
      <c r="Y31" s="5"/>
      <c r="Z31" s="5"/>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5"/>
      <c r="X32" s="5"/>
      <c r="Y32" s="5"/>
      <c r="Z32" s="5"/>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5"/>
      <c r="X33" s="5"/>
      <c r="Y33" s="5"/>
      <c r="Z33" s="5"/>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5"/>
      <c r="X34" s="5"/>
      <c r="Y34" s="5"/>
      <c r="Z34" s="5"/>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5"/>
      <c r="X35" s="5"/>
      <c r="Y35" s="5"/>
      <c r="Z35" s="5"/>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5"/>
      <c r="X36" s="5"/>
      <c r="Y36" s="5"/>
      <c r="Z36" s="5"/>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5"/>
      <c r="X37" s="5"/>
      <c r="Y37" s="5"/>
      <c r="Z37" s="5"/>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5"/>
      <c r="X38" s="5"/>
      <c r="Y38" s="5"/>
      <c r="Z38" s="5"/>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5"/>
      <c r="X39" s="5"/>
      <c r="Y39" s="5"/>
      <c r="Z39" s="5"/>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5"/>
      <c r="X40" s="5"/>
      <c r="Y40" s="5"/>
      <c r="Z40" s="5"/>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5"/>
      <c r="X41" s="5"/>
      <c r="Y41" s="5"/>
      <c r="Z41" s="5"/>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5"/>
      <c r="X42" s="5"/>
      <c r="Y42" s="5"/>
      <c r="Z42" s="5"/>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5"/>
      <c r="X43" s="5"/>
      <c r="Y43" s="5"/>
      <c r="Z43" s="5"/>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5"/>
      <c r="X44" s="5"/>
      <c r="Y44" s="5"/>
      <c r="Z44" s="5"/>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5"/>
      <c r="X45" s="5"/>
      <c r="Y45" s="5"/>
      <c r="Z45" s="5"/>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5"/>
      <c r="X46" s="5"/>
      <c r="Y46" s="5"/>
      <c r="Z46" s="5"/>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5"/>
      <c r="X47" s="5"/>
      <c r="Y47" s="5"/>
      <c r="Z47" s="5"/>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5"/>
      <c r="X48" s="5"/>
      <c r="Y48" s="5"/>
      <c r="Z48" s="5"/>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5"/>
      <c r="X49" s="5"/>
      <c r="Y49" s="5"/>
      <c r="Z49" s="5"/>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5"/>
      <c r="X50" s="5"/>
      <c r="Y50" s="5"/>
      <c r="Z50" s="5"/>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5"/>
      <c r="X51" s="5"/>
      <c r="Y51" s="5"/>
      <c r="Z51" s="5"/>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5"/>
      <c r="X52" s="5"/>
      <c r="Y52" s="5"/>
      <c r="Z52" s="5"/>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5"/>
      <c r="X53" s="5"/>
      <c r="Y53" s="5"/>
      <c r="Z53" s="5"/>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5"/>
      <c r="X54" s="5"/>
      <c r="Y54" s="5"/>
      <c r="Z54" s="5"/>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5"/>
      <c r="X55" s="5"/>
      <c r="Y55" s="5"/>
      <c r="Z55" s="5"/>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5"/>
      <c r="X56" s="5"/>
      <c r="Y56" s="5"/>
      <c r="Z56" s="5"/>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5"/>
      <c r="X57" s="5"/>
      <c r="Y57" s="5"/>
      <c r="Z57" s="5"/>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5"/>
      <c r="X58" s="5"/>
      <c r="Y58" s="5"/>
      <c r="Z58" s="5"/>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5"/>
      <c r="X59" s="5"/>
      <c r="Y59" s="5"/>
      <c r="Z59" s="5"/>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5"/>
      <c r="X60" s="5"/>
      <c r="Y60" s="5"/>
      <c r="Z60" s="5"/>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5"/>
      <c r="X61" s="5"/>
      <c r="Y61" s="5"/>
      <c r="Z61" s="5"/>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5"/>
      <c r="X62" s="5"/>
      <c r="Y62" s="5"/>
      <c r="Z62" s="5"/>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5"/>
      <c r="X63" s="5"/>
      <c r="Y63" s="5"/>
      <c r="Z63" s="5"/>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5"/>
      <c r="X64" s="5"/>
      <c r="Y64" s="5"/>
      <c r="Z64" s="5"/>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5"/>
      <c r="X65" s="5"/>
      <c r="Y65" s="5"/>
      <c r="Z65" s="5"/>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5"/>
      <c r="X66" s="5"/>
      <c r="Y66" s="5"/>
      <c r="Z66" s="5"/>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5"/>
      <c r="X67" s="5"/>
      <c r="Y67" s="5"/>
      <c r="Z67" s="5"/>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5"/>
      <c r="X68" s="5"/>
      <c r="Y68" s="5"/>
      <c r="Z68" s="5"/>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5"/>
      <c r="X69" s="5"/>
      <c r="Y69" s="5"/>
      <c r="Z69" s="5"/>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5"/>
      <c r="X70" s="5"/>
      <c r="Y70" s="5"/>
      <c r="Z70" s="5"/>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5"/>
      <c r="X71" s="5"/>
      <c r="Y71" s="5"/>
      <c r="Z71" s="5"/>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5"/>
      <c r="X72" s="5"/>
      <c r="Y72" s="5"/>
      <c r="Z72" s="5"/>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5"/>
      <c r="X73" s="5"/>
      <c r="Y73" s="5"/>
      <c r="Z73" s="5"/>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5"/>
      <c r="X74" s="5"/>
      <c r="Y74" s="5"/>
      <c r="Z74" s="5"/>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5"/>
      <c r="X75" s="5"/>
      <c r="Y75" s="5"/>
      <c r="Z75" s="5"/>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5"/>
      <c r="X76" s="5"/>
      <c r="Y76" s="5"/>
      <c r="Z76" s="5"/>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5"/>
      <c r="X77" s="5"/>
      <c r="Y77" s="5"/>
      <c r="Z77" s="5"/>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5"/>
      <c r="X78" s="5"/>
      <c r="Y78" s="5"/>
      <c r="Z78" s="5"/>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5"/>
      <c r="X79" s="5"/>
      <c r="Y79" s="5"/>
      <c r="Z79" s="5"/>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5"/>
      <c r="X80" s="5"/>
      <c r="Y80" s="5"/>
      <c r="Z80" s="5"/>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5"/>
      <c r="X81" s="5"/>
      <c r="Y81" s="5"/>
      <c r="Z81" s="5"/>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5"/>
      <c r="X82" s="5"/>
      <c r="Y82" s="5"/>
      <c r="Z82" s="5"/>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5"/>
      <c r="X83" s="5"/>
      <c r="Y83" s="5"/>
      <c r="Z83" s="5"/>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5"/>
      <c r="X84" s="5"/>
      <c r="Y84" s="5"/>
      <c r="Z84" s="5"/>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5"/>
      <c r="X85" s="5"/>
      <c r="Y85" s="5"/>
      <c r="Z85" s="5"/>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5"/>
      <c r="X86" s="5"/>
      <c r="Y86" s="5"/>
      <c r="Z86" s="5"/>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5"/>
      <c r="X87" s="5"/>
      <c r="Y87" s="5"/>
      <c r="Z87" s="5"/>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5"/>
      <c r="X88" s="5"/>
      <c r="Y88" s="5"/>
      <c r="Z88" s="5"/>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5"/>
      <c r="X89" s="5"/>
      <c r="Y89" s="5"/>
      <c r="Z89" s="5"/>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5"/>
      <c r="X90" s="5"/>
      <c r="Y90" s="5"/>
      <c r="Z90" s="5"/>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5"/>
      <c r="X91" s="5"/>
      <c r="Y91" s="5"/>
      <c r="Z91" s="5"/>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5"/>
      <c r="X92" s="5"/>
      <c r="Y92" s="5"/>
      <c r="Z92" s="5"/>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5"/>
      <c r="X93" s="5"/>
      <c r="Y93" s="5"/>
      <c r="Z93" s="5"/>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5"/>
      <c r="X94" s="5"/>
      <c r="Y94" s="5"/>
      <c r="Z94" s="5"/>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5"/>
      <c r="X95" s="5"/>
      <c r="Y95" s="5"/>
      <c r="Z95" s="5"/>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5"/>
      <c r="X96" s="5"/>
      <c r="Y96" s="5"/>
      <c r="Z96" s="5"/>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5"/>
      <c r="X97" s="5"/>
      <c r="Y97" s="5"/>
      <c r="Z97" s="5"/>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5"/>
      <c r="X98" s="5"/>
      <c r="Y98" s="5"/>
      <c r="Z98" s="5"/>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5"/>
      <c r="X99" s="5"/>
      <c r="Y99" s="5"/>
      <c r="Z99" s="5"/>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5"/>
      <c r="X100" s="5"/>
      <c r="Y100" s="5"/>
      <c r="Z100" s="5"/>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5"/>
      <c r="X101" s="5"/>
      <c r="Y101" s="5"/>
      <c r="Z101" s="5"/>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5"/>
      <c r="X102" s="5"/>
      <c r="Y102" s="5"/>
      <c r="Z102" s="5"/>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5"/>
      <c r="X103" s="5"/>
      <c r="Y103" s="5"/>
      <c r="Z103" s="5"/>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5"/>
      <c r="X104" s="5"/>
      <c r="Y104" s="5"/>
      <c r="Z104" s="5"/>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5"/>
      <c r="X105" s="5"/>
      <c r="Y105" s="5"/>
      <c r="Z105" s="5"/>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5"/>
      <c r="X106" s="5"/>
      <c r="Y106" s="5"/>
      <c r="Z106" s="5"/>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5"/>
      <c r="X107" s="5"/>
      <c r="Y107" s="5"/>
      <c r="Z107" s="5"/>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5"/>
      <c r="X108" s="5"/>
      <c r="Y108" s="5"/>
      <c r="Z108" s="5"/>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5"/>
      <c r="X109" s="5"/>
      <c r="Y109" s="5"/>
      <c r="Z109" s="5"/>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5"/>
      <c r="X110" s="5"/>
      <c r="Y110" s="5"/>
      <c r="Z110" s="5"/>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5"/>
      <c r="X111" s="5"/>
      <c r="Y111" s="5"/>
      <c r="Z111" s="5"/>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5"/>
      <c r="X112" s="5"/>
      <c r="Y112" s="5"/>
      <c r="Z112" s="5"/>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5"/>
      <c r="X113" s="5"/>
      <c r="Y113" s="5"/>
      <c r="Z113" s="5"/>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5"/>
      <c r="X114" s="5"/>
      <c r="Y114" s="5"/>
      <c r="Z114" s="5"/>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5"/>
      <c r="X115" s="5"/>
      <c r="Y115" s="5"/>
      <c r="Z115" s="5"/>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5"/>
      <c r="X116" s="5"/>
      <c r="Y116" s="5"/>
      <c r="Z116" s="5"/>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5"/>
      <c r="X117" s="5"/>
      <c r="Y117" s="5"/>
      <c r="Z117" s="5"/>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5"/>
      <c r="X118" s="5"/>
      <c r="Y118" s="5"/>
      <c r="Z118" s="5"/>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5"/>
      <c r="X119" s="5"/>
      <c r="Y119" s="5"/>
      <c r="Z119" s="5"/>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5"/>
      <c r="X120" s="5"/>
      <c r="Y120" s="5"/>
      <c r="Z120" s="5"/>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5"/>
      <c r="X121" s="5"/>
      <c r="Y121" s="5"/>
      <c r="Z121" s="5"/>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5"/>
      <c r="X122" s="5"/>
      <c r="Y122" s="5"/>
      <c r="Z122" s="5"/>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5"/>
      <c r="X123" s="5"/>
      <c r="Y123" s="5"/>
      <c r="Z123" s="5"/>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5"/>
      <c r="X124" s="5"/>
      <c r="Y124" s="5"/>
      <c r="Z124" s="5"/>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5"/>
      <c r="X125" s="5"/>
      <c r="Y125" s="5"/>
      <c r="Z125" s="5"/>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5"/>
      <c r="X126" s="5"/>
      <c r="Y126" s="5"/>
      <c r="Z126" s="5"/>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5"/>
      <c r="X127" s="5"/>
      <c r="Y127" s="5"/>
      <c r="Z127" s="5"/>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5"/>
      <c r="X128" s="5"/>
      <c r="Y128" s="5"/>
      <c r="Z128" s="5"/>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5"/>
      <c r="X129" s="5"/>
      <c r="Y129" s="5"/>
      <c r="Z129" s="5"/>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5"/>
      <c r="X130" s="5"/>
      <c r="Y130" s="5"/>
      <c r="Z130" s="5"/>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5"/>
      <c r="X131" s="5"/>
      <c r="Y131" s="5"/>
      <c r="Z131" s="5"/>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5"/>
      <c r="X132" s="5"/>
      <c r="Y132" s="5"/>
      <c r="Z132" s="5"/>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5"/>
      <c r="X133" s="5"/>
      <c r="Y133" s="5"/>
      <c r="Z133" s="5"/>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5"/>
      <c r="X134" s="5"/>
      <c r="Y134" s="5"/>
      <c r="Z134" s="5"/>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5"/>
      <c r="X135" s="5"/>
      <c r="Y135" s="5"/>
      <c r="Z135" s="5"/>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5"/>
      <c r="X136" s="5"/>
      <c r="Y136" s="5"/>
      <c r="Z136" s="5"/>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5"/>
      <c r="X137" s="5"/>
      <c r="Y137" s="5"/>
      <c r="Z137" s="5"/>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5"/>
      <c r="X138" s="5"/>
      <c r="Y138" s="5"/>
      <c r="Z138" s="5"/>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5"/>
      <c r="X139" s="5"/>
      <c r="Y139" s="5"/>
      <c r="Z139" s="5"/>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5"/>
      <c r="X140" s="5"/>
      <c r="Y140" s="5"/>
      <c r="Z140" s="5"/>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5"/>
      <c r="X141" s="5"/>
      <c r="Y141" s="5"/>
      <c r="Z141" s="5"/>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5"/>
      <c r="X142" s="5"/>
      <c r="Y142" s="5"/>
      <c r="Z142" s="5"/>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5"/>
      <c r="X143" s="5"/>
      <c r="Y143" s="5"/>
      <c r="Z143" s="5"/>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5"/>
      <c r="X144" s="5"/>
      <c r="Y144" s="5"/>
      <c r="Z144" s="5"/>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5"/>
      <c r="X145" s="5"/>
      <c r="Y145" s="5"/>
      <c r="Z145" s="5"/>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5"/>
      <c r="X146" s="5"/>
      <c r="Y146" s="5"/>
      <c r="Z146" s="5"/>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5"/>
      <c r="X147" s="5"/>
      <c r="Y147" s="5"/>
      <c r="Z147" s="5"/>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5"/>
      <c r="X148" s="5"/>
      <c r="Y148" s="5"/>
      <c r="Z148" s="5"/>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5"/>
      <c r="X149" s="5"/>
      <c r="Y149" s="5"/>
      <c r="Z149" s="5"/>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5"/>
      <c r="X150" s="5"/>
      <c r="Y150" s="5"/>
      <c r="Z150" s="5"/>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5"/>
      <c r="X151" s="5"/>
      <c r="Y151" s="5"/>
      <c r="Z151" s="5"/>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5"/>
      <c r="X152" s="5"/>
      <c r="Y152" s="5"/>
      <c r="Z152" s="5"/>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5"/>
      <c r="X153" s="5"/>
      <c r="Y153" s="5"/>
      <c r="Z153" s="5"/>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5"/>
      <c r="X154" s="5"/>
      <c r="Y154" s="5"/>
      <c r="Z154" s="5"/>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5"/>
      <c r="X155" s="5"/>
      <c r="Y155" s="5"/>
      <c r="Z155" s="5"/>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5"/>
      <c r="X156" s="5"/>
      <c r="Y156" s="5"/>
      <c r="Z156" s="5"/>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5"/>
      <c r="X157" s="5"/>
      <c r="Y157" s="5"/>
      <c r="Z157" s="5"/>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5"/>
      <c r="X158" s="5"/>
      <c r="Y158" s="5"/>
      <c r="Z158" s="5"/>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5"/>
      <c r="X159" s="5"/>
      <c r="Y159" s="5"/>
      <c r="Z159" s="5"/>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5"/>
      <c r="X160" s="5"/>
      <c r="Y160" s="5"/>
      <c r="Z160" s="5"/>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5"/>
      <c r="X161" s="5"/>
      <c r="Y161" s="5"/>
      <c r="Z161" s="5"/>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5"/>
      <c r="X162" s="5"/>
      <c r="Y162" s="5"/>
      <c r="Z162" s="5"/>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5"/>
      <c r="X163" s="5"/>
      <c r="Y163" s="5"/>
      <c r="Z163" s="5"/>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5"/>
      <c r="X164" s="5"/>
      <c r="Y164" s="5"/>
      <c r="Z164" s="5"/>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5"/>
      <c r="X165" s="5"/>
      <c r="Y165" s="5"/>
      <c r="Z165" s="5"/>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5"/>
      <c r="X166" s="5"/>
      <c r="Y166" s="5"/>
      <c r="Z166" s="5"/>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5"/>
      <c r="X167" s="5"/>
      <c r="Y167" s="5"/>
      <c r="Z167" s="5"/>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5"/>
      <c r="X168" s="5"/>
      <c r="Y168" s="5"/>
      <c r="Z168" s="5"/>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5"/>
      <c r="X169" s="5"/>
      <c r="Y169" s="5"/>
      <c r="Z169" s="5"/>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5"/>
      <c r="X170" s="5"/>
      <c r="Y170" s="5"/>
      <c r="Z170" s="5"/>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5"/>
      <c r="X171" s="5"/>
      <c r="Y171" s="5"/>
      <c r="Z171" s="5"/>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5"/>
      <c r="X172" s="5"/>
      <c r="Y172" s="5"/>
      <c r="Z172" s="5"/>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5"/>
      <c r="X173" s="5"/>
      <c r="Y173" s="5"/>
      <c r="Z173" s="5"/>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5"/>
      <c r="X174" s="5"/>
      <c r="Y174" s="5"/>
      <c r="Z174" s="5"/>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5"/>
      <c r="X175" s="5"/>
      <c r="Y175" s="5"/>
      <c r="Z175" s="5"/>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5"/>
      <c r="X176" s="5"/>
      <c r="Y176" s="5"/>
      <c r="Z176" s="5"/>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5"/>
      <c r="X177" s="5"/>
      <c r="Y177" s="5"/>
      <c r="Z177" s="5"/>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5"/>
      <c r="X178" s="5"/>
      <c r="Y178" s="5"/>
      <c r="Z178" s="5"/>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5"/>
      <c r="X179" s="5"/>
      <c r="Y179" s="5"/>
      <c r="Z179" s="5"/>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5"/>
      <c r="X180" s="5"/>
      <c r="Y180" s="5"/>
      <c r="Z180" s="5"/>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5"/>
      <c r="X181" s="5"/>
      <c r="Y181" s="5"/>
      <c r="Z181" s="5"/>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5"/>
      <c r="X182" s="5"/>
      <c r="Y182" s="5"/>
      <c r="Z182" s="5"/>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5"/>
      <c r="X183" s="5"/>
      <c r="Y183" s="5"/>
      <c r="Z183" s="5"/>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5"/>
      <c r="X184" s="5"/>
      <c r="Y184" s="5"/>
      <c r="Z184" s="5"/>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5"/>
      <c r="X185" s="5"/>
      <c r="Y185" s="5"/>
      <c r="Z185" s="5"/>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5"/>
      <c r="X186" s="5"/>
      <c r="Y186" s="5"/>
      <c r="Z186" s="5"/>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5"/>
      <c r="X187" s="5"/>
      <c r="Y187" s="5"/>
      <c r="Z187" s="5"/>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5"/>
      <c r="X188" s="5"/>
      <c r="Y188" s="5"/>
      <c r="Z188" s="5"/>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5"/>
      <c r="X189" s="5"/>
      <c r="Y189" s="5"/>
      <c r="Z189" s="5"/>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5"/>
      <c r="X190" s="5"/>
      <c r="Y190" s="5"/>
      <c r="Z190" s="5"/>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5"/>
      <c r="X191" s="5"/>
      <c r="Y191" s="5"/>
      <c r="Z191" s="5"/>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5"/>
      <c r="X192" s="5"/>
      <c r="Y192" s="5"/>
      <c r="Z192" s="5"/>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5"/>
      <c r="X193" s="5"/>
      <c r="Y193" s="5"/>
      <c r="Z193" s="5"/>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5"/>
      <c r="X194" s="5"/>
      <c r="Y194" s="5"/>
      <c r="Z194" s="5"/>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5"/>
      <c r="X195" s="5"/>
      <c r="Y195" s="5"/>
      <c r="Z195" s="5"/>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5"/>
      <c r="X196" s="5"/>
      <c r="Y196" s="5"/>
      <c r="Z196" s="5"/>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5"/>
      <c r="X197" s="5"/>
      <c r="Y197" s="5"/>
      <c r="Z197" s="5"/>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5"/>
      <c r="X198" s="5"/>
      <c r="Y198" s="5"/>
      <c r="Z198" s="5"/>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5"/>
      <c r="X199" s="5"/>
      <c r="Y199" s="5"/>
      <c r="Z199" s="5"/>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5"/>
      <c r="X200" s="5"/>
      <c r="Y200" s="5"/>
      <c r="Z200" s="5"/>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5"/>
      <c r="X201" s="5"/>
      <c r="Y201" s="5"/>
      <c r="Z201" s="5"/>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5"/>
      <c r="X202" s="5"/>
      <c r="Y202" s="5"/>
      <c r="Z202" s="5"/>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5"/>
      <c r="X203" s="5"/>
      <c r="Y203" s="5"/>
      <c r="Z203" s="5"/>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5"/>
      <c r="X204" s="5"/>
      <c r="Y204" s="5"/>
      <c r="Z204" s="5"/>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5"/>
      <c r="X205" s="5"/>
      <c r="Y205" s="5"/>
      <c r="Z205" s="5"/>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5"/>
      <c r="X206" s="5"/>
      <c r="Y206" s="5"/>
      <c r="Z206" s="5"/>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5"/>
      <c r="X207" s="5"/>
      <c r="Y207" s="5"/>
      <c r="Z207" s="5"/>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5"/>
      <c r="X208" s="5"/>
      <c r="Y208" s="5"/>
      <c r="Z208" s="5"/>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5"/>
      <c r="X209" s="5"/>
      <c r="Y209" s="5"/>
      <c r="Z209" s="5"/>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5"/>
      <c r="X210" s="5"/>
      <c r="Y210" s="5"/>
      <c r="Z210" s="5"/>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5"/>
      <c r="X211" s="5"/>
      <c r="Y211" s="5"/>
      <c r="Z211" s="5"/>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5"/>
      <c r="X212" s="5"/>
      <c r="Y212" s="5"/>
      <c r="Z212" s="5"/>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5"/>
      <c r="X213" s="5"/>
      <c r="Y213" s="5"/>
      <c r="Z213" s="5"/>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5"/>
      <c r="X214" s="5"/>
      <c r="Y214" s="5"/>
      <c r="Z214" s="5"/>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5"/>
      <c r="X215" s="5"/>
      <c r="Y215" s="5"/>
      <c r="Z215" s="5"/>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5"/>
      <c r="X216" s="5"/>
      <c r="Y216" s="5"/>
      <c r="Z216" s="5"/>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5"/>
      <c r="X217" s="5"/>
      <c r="Y217" s="5"/>
      <c r="Z217" s="5"/>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5"/>
      <c r="X218" s="5"/>
      <c r="Y218" s="5"/>
      <c r="Z218" s="5"/>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5"/>
      <c r="X219" s="5"/>
      <c r="Y219" s="5"/>
      <c r="Z219" s="5"/>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5"/>
      <c r="X220" s="5"/>
      <c r="Y220" s="5"/>
      <c r="Z220" s="5"/>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5"/>
      <c r="X221" s="5"/>
      <c r="Y221" s="5"/>
      <c r="Z221" s="5"/>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5"/>
      <c r="X222" s="5"/>
      <c r="Y222" s="5"/>
      <c r="Z222" s="5"/>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5"/>
      <c r="X223" s="5"/>
      <c r="Y223" s="5"/>
      <c r="Z223" s="5"/>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5"/>
      <c r="X224" s="5"/>
      <c r="Y224" s="5"/>
      <c r="Z224" s="5"/>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5"/>
      <c r="X225" s="5"/>
      <c r="Y225" s="5"/>
      <c r="Z225" s="5"/>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 width="38.86"/>
    <col customWidth="1" min="3" max="21" width="13.0"/>
    <col customWidth="1" min="22" max="22" width="11.0"/>
  </cols>
  <sheetData>
    <row r="1">
      <c r="A1" s="13" t="s">
        <v>25</v>
      </c>
      <c r="B1" s="21" t="s">
        <v>26</v>
      </c>
      <c r="C1" s="41"/>
      <c r="D1" s="41"/>
      <c r="E1" s="41"/>
      <c r="F1" s="41"/>
      <c r="G1" s="41"/>
      <c r="H1" s="41"/>
      <c r="I1" s="41"/>
      <c r="J1" s="41"/>
      <c r="K1" s="41"/>
      <c r="L1" s="41"/>
      <c r="M1" s="41"/>
      <c r="N1" s="41"/>
      <c r="O1" s="41"/>
      <c r="P1" s="41"/>
      <c r="Q1" s="41"/>
      <c r="R1" s="41"/>
      <c r="S1" s="41"/>
      <c r="T1" s="41"/>
      <c r="U1" s="41"/>
      <c r="V1" s="41"/>
      <c r="W1" s="5"/>
      <c r="X1" s="5"/>
      <c r="Y1" s="5"/>
      <c r="Z1" s="5"/>
    </row>
    <row r="2" ht="12.75" customHeight="1">
      <c r="A2" s="92" t="s">
        <v>489</v>
      </c>
      <c r="B2" s="93" t="s">
        <v>490</v>
      </c>
      <c r="C2" s="94" t="s">
        <v>29</v>
      </c>
      <c r="D2" s="94" t="s">
        <v>30</v>
      </c>
      <c r="E2" s="94" t="s">
        <v>31</v>
      </c>
      <c r="F2" s="94" t="s">
        <v>32</v>
      </c>
      <c r="G2" s="94" t="s">
        <v>33</v>
      </c>
      <c r="H2" s="94" t="s">
        <v>34</v>
      </c>
      <c r="I2" s="94" t="s">
        <v>35</v>
      </c>
      <c r="J2" s="94" t="s">
        <v>36</v>
      </c>
      <c r="K2" s="94" t="s">
        <v>37</v>
      </c>
      <c r="L2" s="94" t="s">
        <v>38</v>
      </c>
      <c r="M2" s="94" t="s">
        <v>39</v>
      </c>
      <c r="N2" s="94" t="s">
        <v>40</v>
      </c>
      <c r="O2" s="94" t="s">
        <v>41</v>
      </c>
      <c r="P2" s="94" t="s">
        <v>42</v>
      </c>
      <c r="Q2" s="94" t="s">
        <v>43</v>
      </c>
      <c r="R2" s="94" t="s">
        <v>44</v>
      </c>
      <c r="S2" s="94" t="s">
        <v>45</v>
      </c>
      <c r="T2" s="94" t="s">
        <v>46</v>
      </c>
      <c r="U2" s="94" t="s">
        <v>47</v>
      </c>
      <c r="V2" s="41"/>
      <c r="W2" s="5"/>
      <c r="X2" s="5"/>
      <c r="Y2" s="5"/>
      <c r="Z2" s="5"/>
    </row>
    <row r="3" ht="12.75" customHeight="1">
      <c r="A3" s="78"/>
      <c r="B3" s="78"/>
      <c r="C3" s="41"/>
      <c r="D3" s="41"/>
      <c r="E3" s="41"/>
      <c r="F3" s="41"/>
      <c r="G3" s="41"/>
      <c r="H3" s="41"/>
      <c r="I3" s="41"/>
      <c r="J3" s="41"/>
      <c r="K3" s="41"/>
      <c r="L3" s="41"/>
      <c r="M3" s="41"/>
      <c r="N3" s="41"/>
      <c r="O3" s="41"/>
      <c r="P3" s="41"/>
      <c r="Q3" s="41"/>
      <c r="R3" s="41"/>
      <c r="S3" s="41"/>
      <c r="T3" s="41"/>
      <c r="U3" s="41"/>
      <c r="V3" s="41"/>
      <c r="W3" s="5"/>
      <c r="X3" s="5"/>
      <c r="Y3" s="5"/>
      <c r="Z3" s="5"/>
    </row>
    <row r="4" ht="12.75" customHeight="1">
      <c r="A4" s="79" t="s">
        <v>275</v>
      </c>
      <c r="B4" s="80" t="s">
        <v>276</v>
      </c>
      <c r="C4" s="81">
        <f t="shared" ref="C4:U4" si="1">C5+C11</f>
        <v>1725800</v>
      </c>
      <c r="D4" s="81">
        <f t="shared" si="1"/>
        <v>1979945</v>
      </c>
      <c r="E4" s="81">
        <f t="shared" si="1"/>
        <v>2313723</v>
      </c>
      <c r="F4" s="81">
        <f t="shared" si="1"/>
        <v>2165370</v>
      </c>
      <c r="G4" s="81">
        <f t="shared" si="1"/>
        <v>2143229</v>
      </c>
      <c r="H4" s="81">
        <f t="shared" si="1"/>
        <v>2305532</v>
      </c>
      <c r="I4" s="81">
        <f t="shared" si="1"/>
        <v>2960010</v>
      </c>
      <c r="J4" s="81">
        <f t="shared" si="1"/>
        <v>2823978</v>
      </c>
      <c r="K4" s="81">
        <f t="shared" si="1"/>
        <v>2589975</v>
      </c>
      <c r="L4" s="81">
        <f t="shared" si="1"/>
        <v>2905717</v>
      </c>
      <c r="M4" s="81">
        <f t="shared" si="1"/>
        <v>2736556.306</v>
      </c>
      <c r="N4" s="81">
        <f t="shared" si="1"/>
        <v>2900803.583</v>
      </c>
      <c r="O4" s="81">
        <f t="shared" si="1"/>
        <v>2941288.97</v>
      </c>
      <c r="P4" s="81">
        <f t="shared" si="1"/>
        <v>2969863.06</v>
      </c>
      <c r="Q4" s="81">
        <f t="shared" si="1"/>
        <v>2921606.42</v>
      </c>
      <c r="R4" s="81">
        <f t="shared" si="1"/>
        <v>2913095</v>
      </c>
      <c r="S4" s="81">
        <f t="shared" si="1"/>
        <v>3036926.21</v>
      </c>
      <c r="T4" s="81">
        <f t="shared" si="1"/>
        <v>3038459.39</v>
      </c>
      <c r="U4" s="81">
        <f t="shared" si="1"/>
        <v>3038262.88</v>
      </c>
      <c r="V4" s="41"/>
      <c r="W4" s="5"/>
      <c r="X4" s="5"/>
      <c r="Y4" s="5"/>
      <c r="Z4" s="5"/>
    </row>
    <row r="5" ht="12.75" customHeight="1">
      <c r="A5" s="79" t="s">
        <v>277</v>
      </c>
      <c r="B5" s="80" t="s">
        <v>278</v>
      </c>
      <c r="C5" s="81">
        <f t="shared" ref="C5:U5" si="2">SUM(C6:C9)</f>
        <v>1711664</v>
      </c>
      <c r="D5" s="81">
        <f t="shared" si="2"/>
        <v>1965717</v>
      </c>
      <c r="E5" s="81">
        <f t="shared" si="2"/>
        <v>2296048</v>
      </c>
      <c r="F5" s="81">
        <f t="shared" si="2"/>
        <v>2149593</v>
      </c>
      <c r="G5" s="81">
        <f t="shared" si="2"/>
        <v>2128725</v>
      </c>
      <c r="H5" s="81">
        <f t="shared" si="2"/>
        <v>2290675</v>
      </c>
      <c r="I5" s="81">
        <f t="shared" si="2"/>
        <v>2473230</v>
      </c>
      <c r="J5" s="81">
        <f t="shared" si="2"/>
        <v>2519863</v>
      </c>
      <c r="K5" s="81">
        <f t="shared" si="2"/>
        <v>2298180</v>
      </c>
      <c r="L5" s="81">
        <f t="shared" si="2"/>
        <v>2617342</v>
      </c>
      <c r="M5" s="81">
        <f t="shared" si="2"/>
        <v>2450137.174</v>
      </c>
      <c r="N5" s="81">
        <f t="shared" si="2"/>
        <v>2640357.443</v>
      </c>
      <c r="O5" s="81">
        <f t="shared" si="2"/>
        <v>2685169.3</v>
      </c>
      <c r="P5" s="81">
        <f t="shared" si="2"/>
        <v>2721235.52</v>
      </c>
      <c r="Q5" s="81">
        <f t="shared" si="2"/>
        <v>2686824.93</v>
      </c>
      <c r="R5" s="81">
        <f t="shared" si="2"/>
        <v>2689465</v>
      </c>
      <c r="S5" s="81">
        <f t="shared" si="2"/>
        <v>2821470.89</v>
      </c>
      <c r="T5" s="81">
        <f t="shared" si="2"/>
        <v>2827666.52</v>
      </c>
      <c r="U5" s="81">
        <f t="shared" si="2"/>
        <v>2839241.59</v>
      </c>
      <c r="V5" s="41"/>
      <c r="W5" s="5"/>
      <c r="X5" s="5"/>
      <c r="Y5" s="5"/>
      <c r="Z5" s="5"/>
    </row>
    <row r="6" ht="12.75" customHeight="1">
      <c r="A6" s="82" t="s">
        <v>279</v>
      </c>
      <c r="B6" s="83" t="s">
        <v>280</v>
      </c>
      <c r="C6" s="53">
        <v>213914.0</v>
      </c>
      <c r="D6" s="53">
        <v>156596.0</v>
      </c>
      <c r="E6" s="53">
        <v>252019.0</v>
      </c>
      <c r="F6" s="53">
        <v>135308.0</v>
      </c>
      <c r="G6" s="53">
        <v>148782.0</v>
      </c>
      <c r="H6" s="53">
        <v>152282.0</v>
      </c>
      <c r="I6" s="53">
        <v>253708.0</v>
      </c>
      <c r="J6" s="53">
        <v>164755.0</v>
      </c>
      <c r="K6" s="53">
        <v>128303.0</v>
      </c>
      <c r="L6" s="53">
        <v>142889.0</v>
      </c>
      <c r="M6" s="53">
        <v>307549.34864</v>
      </c>
      <c r="N6" s="53">
        <v>199150.99</v>
      </c>
      <c r="O6" s="53">
        <v>194270.62</v>
      </c>
      <c r="P6" s="53">
        <v>185971.0</v>
      </c>
      <c r="Q6" s="53">
        <v>200241.0</v>
      </c>
      <c r="R6" s="53">
        <v>258987.0</v>
      </c>
      <c r="S6" s="53">
        <v>109166.0</v>
      </c>
      <c r="T6" s="53">
        <v>168147.37</v>
      </c>
      <c r="U6" s="53">
        <v>134986.81</v>
      </c>
      <c r="V6" s="41"/>
      <c r="W6" s="5"/>
      <c r="X6" s="5"/>
      <c r="Y6" s="5"/>
      <c r="Z6" s="5"/>
    </row>
    <row r="7" ht="12.75" customHeight="1">
      <c r="A7" s="82" t="s">
        <v>284</v>
      </c>
      <c r="B7" s="83" t="s">
        <v>285</v>
      </c>
      <c r="C7" s="53">
        <v>92028.0</v>
      </c>
      <c r="D7" s="53">
        <v>288095.0</v>
      </c>
      <c r="E7" s="53">
        <v>427131.0</v>
      </c>
      <c r="F7" s="53">
        <v>388154.0</v>
      </c>
      <c r="G7" s="53">
        <v>144775.0</v>
      </c>
      <c r="H7" s="53">
        <v>341837.0</v>
      </c>
      <c r="I7" s="53">
        <v>389407.0</v>
      </c>
      <c r="J7" s="53">
        <v>461895.0</v>
      </c>
      <c r="K7" s="53">
        <v>186850.0</v>
      </c>
      <c r="L7" s="53">
        <v>641501.0</v>
      </c>
      <c r="M7" s="53">
        <v>139208.37812</v>
      </c>
      <c r="N7" s="53">
        <v>279009.793</v>
      </c>
      <c r="O7" s="53">
        <v>141252.85</v>
      </c>
      <c r="P7" s="53">
        <v>376268.0</v>
      </c>
      <c r="Q7" s="53">
        <v>298959.0</v>
      </c>
      <c r="R7" s="53">
        <v>154178.0</v>
      </c>
      <c r="S7" s="53">
        <v>177736.42</v>
      </c>
      <c r="T7" s="53">
        <v>127166.26</v>
      </c>
      <c r="U7" s="53">
        <v>267635.73</v>
      </c>
      <c r="V7" s="41"/>
      <c r="W7" s="5"/>
      <c r="X7" s="5"/>
      <c r="Y7" s="5"/>
      <c r="Z7" s="5"/>
    </row>
    <row r="8" ht="12.75" customHeight="1">
      <c r="A8" s="82" t="s">
        <v>491</v>
      </c>
      <c r="B8" s="83" t="s">
        <v>492</v>
      </c>
      <c r="C8" s="53">
        <v>1392847.0</v>
      </c>
      <c r="D8" s="53">
        <v>1499527.0</v>
      </c>
      <c r="E8" s="53">
        <v>1594860.0</v>
      </c>
      <c r="F8" s="53">
        <v>1566133.0</v>
      </c>
      <c r="G8" s="53">
        <v>1818252.0</v>
      </c>
      <c r="H8" s="53">
        <v>1769100.0</v>
      </c>
      <c r="I8" s="53">
        <v>1799505.0</v>
      </c>
      <c r="J8" s="53">
        <v>1836965.0</v>
      </c>
      <c r="K8" s="53">
        <v>1965965.0</v>
      </c>
      <c r="L8" s="53">
        <v>1803682.0</v>
      </c>
      <c r="M8" s="53">
        <v>1975362.07962</v>
      </c>
      <c r="N8" s="53">
        <v>2080818.4800000002</v>
      </c>
      <c r="O8" s="53">
        <v>2320094.48</v>
      </c>
      <c r="P8" s="53">
        <v>2108420.1999999997</v>
      </c>
      <c r="Q8" s="53">
        <v>2138438.3</v>
      </c>
      <c r="R8" s="53">
        <v>2148456.0</v>
      </c>
      <c r="S8" s="53">
        <v>2471357.5300000003</v>
      </c>
      <c r="T8" s="53">
        <v>2472710.17</v>
      </c>
      <c r="U8" s="53">
        <v>2380168.42999999</v>
      </c>
      <c r="V8" s="41"/>
      <c r="W8" s="5"/>
      <c r="X8" s="5"/>
      <c r="Y8" s="5"/>
      <c r="Z8" s="5"/>
    </row>
    <row r="9" ht="12.75" customHeight="1">
      <c r="A9" s="82" t="s">
        <v>292</v>
      </c>
      <c r="B9" s="83" t="s">
        <v>388</v>
      </c>
      <c r="C9" s="53">
        <v>12875.0</v>
      </c>
      <c r="D9" s="53">
        <v>21499.0</v>
      </c>
      <c r="E9" s="53">
        <v>22038.0</v>
      </c>
      <c r="F9" s="53">
        <v>59998.0</v>
      </c>
      <c r="G9" s="53">
        <v>16916.0</v>
      </c>
      <c r="H9" s="53">
        <v>27456.0</v>
      </c>
      <c r="I9" s="53">
        <v>30610.0</v>
      </c>
      <c r="J9" s="53">
        <v>56248.0</v>
      </c>
      <c r="K9" s="53">
        <v>17062.0</v>
      </c>
      <c r="L9" s="53">
        <v>29270.0</v>
      </c>
      <c r="M9" s="53">
        <v>28017.367829999996</v>
      </c>
      <c r="N9" s="53">
        <v>81378.18000000001</v>
      </c>
      <c r="O9" s="53">
        <v>29551.35</v>
      </c>
      <c r="P9" s="53">
        <v>50576.32</v>
      </c>
      <c r="Q9" s="53">
        <v>49186.630000000005</v>
      </c>
      <c r="R9" s="53">
        <v>127844.0</v>
      </c>
      <c r="S9" s="53">
        <v>63210.94</v>
      </c>
      <c r="T9" s="53">
        <v>59642.72</v>
      </c>
      <c r="U9" s="53">
        <v>56450.6199999999</v>
      </c>
      <c r="V9" s="41"/>
      <c r="W9" s="5"/>
      <c r="X9" s="5"/>
      <c r="Y9" s="5"/>
      <c r="Z9" s="5"/>
    </row>
    <row r="10" ht="12.75" customHeight="1">
      <c r="A10" s="79"/>
      <c r="B10" s="80"/>
      <c r="C10" s="84"/>
      <c r="D10" s="84"/>
      <c r="E10" s="84"/>
      <c r="F10" s="84"/>
      <c r="G10" s="84"/>
      <c r="H10" s="84"/>
      <c r="I10" s="84"/>
      <c r="J10" s="84"/>
      <c r="K10" s="84"/>
      <c r="L10" s="84"/>
      <c r="M10" s="84"/>
      <c r="N10" s="84"/>
      <c r="O10" s="84"/>
      <c r="P10" s="84"/>
      <c r="Q10" s="84"/>
      <c r="R10" s="84"/>
      <c r="S10" s="84"/>
      <c r="T10" s="84"/>
      <c r="U10" s="84"/>
      <c r="V10" s="41"/>
      <c r="W10" s="5"/>
      <c r="X10" s="5"/>
      <c r="Y10" s="5"/>
      <c r="Z10" s="5"/>
    </row>
    <row r="11" ht="12.75" customHeight="1">
      <c r="A11" s="79" t="s">
        <v>296</v>
      </c>
      <c r="B11" s="80" t="s">
        <v>297</v>
      </c>
      <c r="C11" s="81">
        <f t="shared" ref="C11:U11" si="3">SUM(C12:C14)</f>
        <v>14136</v>
      </c>
      <c r="D11" s="81">
        <f t="shared" si="3"/>
        <v>14228</v>
      </c>
      <c r="E11" s="81">
        <f t="shared" si="3"/>
        <v>17675</v>
      </c>
      <c r="F11" s="81">
        <f t="shared" si="3"/>
        <v>15777</v>
      </c>
      <c r="G11" s="81">
        <f t="shared" si="3"/>
        <v>14504</v>
      </c>
      <c r="H11" s="81">
        <f t="shared" si="3"/>
        <v>14857</v>
      </c>
      <c r="I11" s="81">
        <f t="shared" si="3"/>
        <v>486780</v>
      </c>
      <c r="J11" s="81">
        <f t="shared" si="3"/>
        <v>304115</v>
      </c>
      <c r="K11" s="81">
        <f t="shared" si="3"/>
        <v>291795</v>
      </c>
      <c r="L11" s="81">
        <f t="shared" si="3"/>
        <v>288375</v>
      </c>
      <c r="M11" s="81">
        <f t="shared" si="3"/>
        <v>286419.1319</v>
      </c>
      <c r="N11" s="81">
        <f t="shared" si="3"/>
        <v>260446.14</v>
      </c>
      <c r="O11" s="81">
        <f t="shared" si="3"/>
        <v>256119.67</v>
      </c>
      <c r="P11" s="81">
        <f t="shared" si="3"/>
        <v>248627.54</v>
      </c>
      <c r="Q11" s="81">
        <f t="shared" si="3"/>
        <v>234781.49</v>
      </c>
      <c r="R11" s="81">
        <f t="shared" si="3"/>
        <v>223630</v>
      </c>
      <c r="S11" s="81">
        <f t="shared" si="3"/>
        <v>215455.32</v>
      </c>
      <c r="T11" s="81">
        <f t="shared" si="3"/>
        <v>210792.87</v>
      </c>
      <c r="U11" s="81">
        <f t="shared" si="3"/>
        <v>199021.29</v>
      </c>
      <c r="V11" s="41"/>
      <c r="W11" s="5"/>
      <c r="X11" s="5"/>
      <c r="Y11" s="5"/>
      <c r="Z11" s="5"/>
    </row>
    <row r="12" ht="12.75" customHeight="1">
      <c r="A12" s="82" t="s">
        <v>292</v>
      </c>
      <c r="B12" s="83" t="s">
        <v>388</v>
      </c>
      <c r="C12" s="53">
        <v>7333.0</v>
      </c>
      <c r="D12" s="53">
        <v>7773.0</v>
      </c>
      <c r="E12" s="53">
        <v>11432.0</v>
      </c>
      <c r="F12" s="53">
        <v>8714.0</v>
      </c>
      <c r="G12" s="53">
        <v>7810.0</v>
      </c>
      <c r="H12" s="53">
        <v>8555.0</v>
      </c>
      <c r="I12" s="53">
        <v>51204.0</v>
      </c>
      <c r="J12" s="53">
        <v>47787.0</v>
      </c>
      <c r="K12" s="53">
        <v>48750.0</v>
      </c>
      <c r="L12" s="53">
        <v>55129.0</v>
      </c>
      <c r="M12" s="53">
        <v>60743.648479999996</v>
      </c>
      <c r="N12" s="53">
        <v>46440.67999999999</v>
      </c>
      <c r="O12" s="53">
        <v>50149.729999999996</v>
      </c>
      <c r="P12" s="53">
        <v>50638.32</v>
      </c>
      <c r="Q12" s="53">
        <v>46232.28</v>
      </c>
      <c r="R12" s="53">
        <v>41609.0</v>
      </c>
      <c r="S12" s="53">
        <v>36279.37</v>
      </c>
      <c r="T12" s="53">
        <v>34480.84</v>
      </c>
      <c r="U12" s="53">
        <v>25795.1299999999</v>
      </c>
      <c r="V12" s="41"/>
      <c r="W12" s="5"/>
      <c r="X12" s="5"/>
      <c r="Y12" s="5"/>
      <c r="Z12" s="5"/>
    </row>
    <row r="13" ht="12.75" customHeight="1">
      <c r="A13" s="82" t="s">
        <v>312</v>
      </c>
      <c r="B13" s="83" t="s">
        <v>313</v>
      </c>
      <c r="C13" s="53">
        <v>6146.0</v>
      </c>
      <c r="D13" s="53">
        <v>5745.0</v>
      </c>
      <c r="E13" s="53">
        <v>5552.0</v>
      </c>
      <c r="F13" s="53">
        <v>6374.0</v>
      </c>
      <c r="G13" s="53">
        <v>5957.0</v>
      </c>
      <c r="H13" s="53">
        <v>5558.0</v>
      </c>
      <c r="I13" s="53">
        <v>6699.0</v>
      </c>
      <c r="J13" s="53">
        <v>6406.0</v>
      </c>
      <c r="K13" s="53">
        <v>5877.0</v>
      </c>
      <c r="L13" s="53">
        <v>5416.0</v>
      </c>
      <c r="M13" s="53">
        <v>6899.50889</v>
      </c>
      <c r="N13" s="53">
        <v>7151.65</v>
      </c>
      <c r="O13" s="53">
        <v>6425.49</v>
      </c>
      <c r="P13" s="53">
        <v>5936.15</v>
      </c>
      <c r="Q13" s="53">
        <v>4679.06</v>
      </c>
      <c r="R13" s="53">
        <v>6955.0</v>
      </c>
      <c r="S13" s="53">
        <v>6312.360000000001</v>
      </c>
      <c r="T13" s="53">
        <v>5599.12</v>
      </c>
      <c r="U13" s="53">
        <v>4950.86</v>
      </c>
      <c r="V13" s="41"/>
      <c r="W13" s="5"/>
      <c r="X13" s="5"/>
      <c r="Y13" s="5"/>
      <c r="Z13" s="5"/>
    </row>
    <row r="14" ht="12.75" customHeight="1">
      <c r="A14" s="82" t="s">
        <v>314</v>
      </c>
      <c r="B14" s="83" t="s">
        <v>315</v>
      </c>
      <c r="C14" s="53">
        <v>657.0</v>
      </c>
      <c r="D14" s="53">
        <v>710.0</v>
      </c>
      <c r="E14" s="53">
        <v>691.0</v>
      </c>
      <c r="F14" s="53">
        <v>689.0</v>
      </c>
      <c r="G14" s="53">
        <v>737.0</v>
      </c>
      <c r="H14" s="53">
        <v>744.0</v>
      </c>
      <c r="I14" s="53">
        <v>428877.0</v>
      </c>
      <c r="J14" s="53">
        <v>249922.0</v>
      </c>
      <c r="K14" s="53">
        <v>237168.0</v>
      </c>
      <c r="L14" s="53">
        <v>227830.0</v>
      </c>
      <c r="M14" s="53">
        <v>218775.97457</v>
      </c>
      <c r="N14" s="53">
        <v>206853.81</v>
      </c>
      <c r="O14" s="53">
        <v>199544.45</v>
      </c>
      <c r="P14" s="53">
        <v>192053.07</v>
      </c>
      <c r="Q14" s="53">
        <v>183870.15</v>
      </c>
      <c r="R14" s="53">
        <v>175066.0</v>
      </c>
      <c r="S14" s="53">
        <v>172863.59</v>
      </c>
      <c r="T14" s="53">
        <v>170712.91</v>
      </c>
      <c r="U14" s="53">
        <v>168275.3</v>
      </c>
      <c r="V14" s="41"/>
      <c r="W14" s="5"/>
      <c r="X14" s="5"/>
      <c r="Y14" s="5"/>
      <c r="Z14" s="5"/>
    </row>
    <row r="15" ht="12.75" customHeight="1">
      <c r="A15" s="82"/>
      <c r="B15" s="83"/>
      <c r="C15" s="84"/>
      <c r="D15" s="84"/>
      <c r="E15" s="84"/>
      <c r="F15" s="84"/>
      <c r="G15" s="84"/>
      <c r="H15" s="84"/>
      <c r="I15" s="84"/>
      <c r="J15" s="84"/>
      <c r="K15" s="84"/>
      <c r="L15" s="84"/>
      <c r="M15" s="84"/>
      <c r="N15" s="84"/>
      <c r="O15" s="84"/>
      <c r="P15" s="84"/>
      <c r="Q15" s="84"/>
      <c r="R15" s="84"/>
      <c r="S15" s="84"/>
      <c r="T15" s="84"/>
      <c r="U15" s="84"/>
      <c r="V15" s="41"/>
      <c r="W15" s="5"/>
      <c r="X15" s="5"/>
      <c r="Y15" s="5"/>
      <c r="Z15" s="5"/>
    </row>
    <row r="16" ht="12.75" customHeight="1">
      <c r="A16" s="79" t="s">
        <v>316</v>
      </c>
      <c r="B16" s="80" t="s">
        <v>317</v>
      </c>
      <c r="C16" s="81">
        <f t="shared" ref="C16:U16" si="4">C17+C24+C30</f>
        <v>1725800</v>
      </c>
      <c r="D16" s="81">
        <f t="shared" si="4"/>
        <v>1979945</v>
      </c>
      <c r="E16" s="81">
        <f t="shared" si="4"/>
        <v>2313723</v>
      </c>
      <c r="F16" s="81">
        <f t="shared" si="4"/>
        <v>2165370</v>
      </c>
      <c r="G16" s="81">
        <f t="shared" si="4"/>
        <v>2143229</v>
      </c>
      <c r="H16" s="81">
        <f t="shared" si="4"/>
        <v>2305532</v>
      </c>
      <c r="I16" s="81">
        <f t="shared" si="4"/>
        <v>2960010</v>
      </c>
      <c r="J16" s="81">
        <f t="shared" si="4"/>
        <v>2823978</v>
      </c>
      <c r="K16" s="81">
        <f t="shared" si="4"/>
        <v>2589975</v>
      </c>
      <c r="L16" s="81">
        <f t="shared" si="4"/>
        <v>2905717</v>
      </c>
      <c r="M16" s="81">
        <f t="shared" si="4"/>
        <v>2736556.305</v>
      </c>
      <c r="N16" s="81">
        <f t="shared" si="4"/>
        <v>2900803.587</v>
      </c>
      <c r="O16" s="81">
        <f t="shared" si="4"/>
        <v>2941288.98</v>
      </c>
      <c r="P16" s="81">
        <f t="shared" si="4"/>
        <v>2969863.3</v>
      </c>
      <c r="Q16" s="81">
        <f t="shared" si="4"/>
        <v>2921606.07</v>
      </c>
      <c r="R16" s="81">
        <f t="shared" si="4"/>
        <v>2913095</v>
      </c>
      <c r="S16" s="81">
        <f t="shared" si="4"/>
        <v>3036925.92</v>
      </c>
      <c r="T16" s="81">
        <f t="shared" si="4"/>
        <v>3038459.86</v>
      </c>
      <c r="U16" s="81">
        <f t="shared" si="4"/>
        <v>3038262.96</v>
      </c>
      <c r="V16" s="41"/>
      <c r="W16" s="5"/>
      <c r="X16" s="5"/>
      <c r="Y16" s="5"/>
      <c r="Z16" s="5"/>
    </row>
    <row r="17" ht="12.75" customHeight="1">
      <c r="A17" s="79" t="s">
        <v>277</v>
      </c>
      <c r="B17" s="80" t="s">
        <v>318</v>
      </c>
      <c r="C17" s="81">
        <f t="shared" ref="C17:U17" si="5">SUM(C18:C22)</f>
        <v>1644881</v>
      </c>
      <c r="D17" s="81">
        <f t="shared" si="5"/>
        <v>1891432</v>
      </c>
      <c r="E17" s="81">
        <f t="shared" si="5"/>
        <v>2215593</v>
      </c>
      <c r="F17" s="81">
        <f t="shared" si="5"/>
        <v>2051273</v>
      </c>
      <c r="G17" s="81">
        <f t="shared" si="5"/>
        <v>2029850</v>
      </c>
      <c r="H17" s="81">
        <f t="shared" si="5"/>
        <v>2186080</v>
      </c>
      <c r="I17" s="81">
        <f t="shared" si="5"/>
        <v>2331080</v>
      </c>
      <c r="J17" s="81">
        <f t="shared" si="5"/>
        <v>2361752</v>
      </c>
      <c r="K17" s="81">
        <f t="shared" si="5"/>
        <v>2130022</v>
      </c>
      <c r="L17" s="81">
        <f t="shared" si="5"/>
        <v>2448190</v>
      </c>
      <c r="M17" s="81">
        <f t="shared" si="5"/>
        <v>2078694.174</v>
      </c>
      <c r="N17" s="81">
        <f t="shared" si="5"/>
        <v>2243537.517</v>
      </c>
      <c r="O17" s="81">
        <f t="shared" si="5"/>
        <v>2293079.42</v>
      </c>
      <c r="P17" s="81">
        <f t="shared" si="5"/>
        <v>2329353.46</v>
      </c>
      <c r="Q17" s="81">
        <f t="shared" si="5"/>
        <v>2277014.36</v>
      </c>
      <c r="R17" s="81">
        <f t="shared" si="5"/>
        <v>2259519</v>
      </c>
      <c r="S17" s="81">
        <f t="shared" si="5"/>
        <v>2374853.4</v>
      </c>
      <c r="T17" s="81">
        <f t="shared" si="5"/>
        <v>2377578.22</v>
      </c>
      <c r="U17" s="81">
        <f t="shared" si="5"/>
        <v>2395728.19</v>
      </c>
      <c r="V17" s="41"/>
      <c r="W17" s="5"/>
      <c r="X17" s="5"/>
      <c r="Y17" s="5"/>
      <c r="Z17" s="5"/>
    </row>
    <row r="18" ht="12.75" customHeight="1">
      <c r="A18" s="82" t="s">
        <v>493</v>
      </c>
      <c r="B18" s="83" t="s">
        <v>494</v>
      </c>
      <c r="C18" s="53">
        <v>102644.0</v>
      </c>
      <c r="D18" s="53">
        <v>103902.0</v>
      </c>
      <c r="E18" s="53">
        <v>102314.0</v>
      </c>
      <c r="F18" s="53">
        <v>104770.0</v>
      </c>
      <c r="G18" s="53">
        <v>1045.0</v>
      </c>
      <c r="H18" s="53">
        <v>1059.0</v>
      </c>
      <c r="I18" s="53">
        <v>1101.0</v>
      </c>
      <c r="J18" s="53">
        <v>1159.0</v>
      </c>
      <c r="K18" s="53">
        <v>1176.0</v>
      </c>
      <c r="L18" s="53">
        <v>252852.0</v>
      </c>
      <c r="M18" s="53">
        <v>620183.9031700001</v>
      </c>
      <c r="N18" s="53">
        <v>1584.32</v>
      </c>
      <c r="O18" s="53">
        <v>101667.03000000001</v>
      </c>
      <c r="P18" s="53">
        <v>9113.47</v>
      </c>
      <c r="Q18" s="53">
        <v>251449.71</v>
      </c>
      <c r="R18" s="53">
        <v>372744.0</v>
      </c>
      <c r="S18" s="53">
        <v>233344.84999999998</v>
      </c>
      <c r="T18" s="53">
        <v>302582.53</v>
      </c>
      <c r="U18" s="95">
        <v>75915.0</v>
      </c>
      <c r="V18" s="41"/>
      <c r="W18" s="5"/>
      <c r="X18" s="5"/>
      <c r="Y18" s="5"/>
      <c r="Z18" s="5"/>
    </row>
    <row r="19" ht="12.75" customHeight="1">
      <c r="A19" s="82" t="s">
        <v>327</v>
      </c>
      <c r="B19" s="83" t="s">
        <v>328</v>
      </c>
      <c r="C19" s="53">
        <v>0.0</v>
      </c>
      <c r="D19" s="53">
        <v>0.0</v>
      </c>
      <c r="E19" s="53">
        <v>0.0</v>
      </c>
      <c r="F19" s="53">
        <v>0.0</v>
      </c>
      <c r="G19" s="53">
        <v>0.0</v>
      </c>
      <c r="H19" s="53">
        <v>0.0</v>
      </c>
      <c r="I19" s="53">
        <v>0.0</v>
      </c>
      <c r="J19" s="53">
        <v>0.0</v>
      </c>
      <c r="K19" s="53">
        <v>0.0</v>
      </c>
      <c r="L19" s="53">
        <v>0.0</v>
      </c>
      <c r="M19" s="53">
        <v>0.0</v>
      </c>
      <c r="N19" s="53">
        <v>0.0</v>
      </c>
      <c r="O19" s="53">
        <v>0.0</v>
      </c>
      <c r="P19" s="53">
        <v>0.0</v>
      </c>
      <c r="Q19" s="53">
        <v>0.0</v>
      </c>
      <c r="R19" s="53">
        <v>0.0</v>
      </c>
      <c r="S19" s="53">
        <v>0.0</v>
      </c>
      <c r="T19" s="53">
        <v>0.0</v>
      </c>
      <c r="U19" s="53">
        <v>0.0</v>
      </c>
      <c r="V19" s="41"/>
      <c r="W19" s="5"/>
      <c r="X19" s="5"/>
      <c r="Y19" s="5"/>
      <c r="Z19" s="5"/>
    </row>
    <row r="20" ht="12.75" customHeight="1">
      <c r="A20" s="82" t="s">
        <v>495</v>
      </c>
      <c r="B20" s="83" t="s">
        <v>496</v>
      </c>
      <c r="C20" s="53">
        <v>381622.0</v>
      </c>
      <c r="D20" s="53">
        <v>432463.0</v>
      </c>
      <c r="E20" s="53">
        <v>526403.0</v>
      </c>
      <c r="F20" s="53">
        <v>520118.0</v>
      </c>
      <c r="G20" s="53">
        <v>608739.0</v>
      </c>
      <c r="H20" s="53">
        <v>621220.0</v>
      </c>
      <c r="I20" s="53">
        <v>689147.0</v>
      </c>
      <c r="J20" s="53">
        <v>678215.0</v>
      </c>
      <c r="K20" s="53">
        <v>713764.0</v>
      </c>
      <c r="L20" s="53">
        <v>703919.0</v>
      </c>
      <c r="M20" s="53">
        <v>506656.49947000004</v>
      </c>
      <c r="N20" s="53">
        <v>779118.41</v>
      </c>
      <c r="O20" s="53">
        <v>721754.94</v>
      </c>
      <c r="P20" s="53">
        <v>988113.65</v>
      </c>
      <c r="Q20" s="53">
        <v>764019.5</v>
      </c>
      <c r="R20" s="53">
        <v>715141.0</v>
      </c>
      <c r="S20" s="53">
        <v>876801.61</v>
      </c>
      <c r="T20" s="53">
        <v>698867.02</v>
      </c>
      <c r="U20" s="53">
        <v>847194.14</v>
      </c>
      <c r="V20" s="41"/>
      <c r="W20" s="5"/>
      <c r="X20" s="5"/>
      <c r="Y20" s="5"/>
      <c r="Z20" s="5"/>
    </row>
    <row r="21" ht="12.75" customHeight="1">
      <c r="A21" s="82" t="s">
        <v>497</v>
      </c>
      <c r="B21" s="83" t="s">
        <v>498</v>
      </c>
      <c r="C21" s="53">
        <v>1135225.0</v>
      </c>
      <c r="D21" s="53">
        <v>1322986.0</v>
      </c>
      <c r="E21" s="53">
        <v>1538368.0</v>
      </c>
      <c r="F21" s="53">
        <v>1372726.0</v>
      </c>
      <c r="G21" s="53">
        <v>1386758.0</v>
      </c>
      <c r="H21" s="53">
        <v>1512621.0</v>
      </c>
      <c r="I21" s="53">
        <v>1593971.0</v>
      </c>
      <c r="J21" s="53">
        <v>1638887.0</v>
      </c>
      <c r="K21" s="53">
        <v>1387918.0</v>
      </c>
      <c r="L21" s="53">
        <v>1449766.0</v>
      </c>
      <c r="M21" s="53">
        <v>903990.82336</v>
      </c>
      <c r="N21" s="53">
        <v>1410463.047</v>
      </c>
      <c r="O21" s="53">
        <v>1412277.46</v>
      </c>
      <c r="P21" s="53">
        <v>1275303.9</v>
      </c>
      <c r="Q21" s="53">
        <v>1200564.0</v>
      </c>
      <c r="R21" s="53">
        <v>1111066.0</v>
      </c>
      <c r="S21" s="53">
        <v>1203660.72</v>
      </c>
      <c r="T21" s="53">
        <v>1293922.67</v>
      </c>
      <c r="U21" s="53">
        <v>1210399.82</v>
      </c>
      <c r="V21" s="41"/>
      <c r="W21" s="5"/>
      <c r="X21" s="5"/>
      <c r="Y21" s="5"/>
      <c r="Z21" s="5"/>
    </row>
    <row r="22" ht="12.75" customHeight="1">
      <c r="A22" s="82" t="s">
        <v>337</v>
      </c>
      <c r="B22" s="83" t="s">
        <v>338</v>
      </c>
      <c r="C22" s="53">
        <v>25390.0</v>
      </c>
      <c r="D22" s="53">
        <v>32081.0</v>
      </c>
      <c r="E22" s="53">
        <v>48508.0</v>
      </c>
      <c r="F22" s="53">
        <v>53659.0</v>
      </c>
      <c r="G22" s="53">
        <v>33308.0</v>
      </c>
      <c r="H22" s="53">
        <v>51180.0</v>
      </c>
      <c r="I22" s="53">
        <v>46861.0</v>
      </c>
      <c r="J22" s="53">
        <v>43491.0</v>
      </c>
      <c r="K22" s="53">
        <v>27164.0</v>
      </c>
      <c r="L22" s="53">
        <v>41653.0</v>
      </c>
      <c r="M22" s="53">
        <v>47862.94767</v>
      </c>
      <c r="N22" s="53">
        <v>52371.73999999999</v>
      </c>
      <c r="O22" s="53">
        <v>57379.990000000005</v>
      </c>
      <c r="P22" s="53">
        <v>56822.44000000001</v>
      </c>
      <c r="Q22" s="53">
        <v>60981.15</v>
      </c>
      <c r="R22" s="53">
        <v>60568.0</v>
      </c>
      <c r="S22" s="53">
        <v>61046.22000000001</v>
      </c>
      <c r="T22" s="53">
        <v>82206.0</v>
      </c>
      <c r="U22" s="53">
        <v>262219.23</v>
      </c>
      <c r="V22" s="41"/>
      <c r="W22" s="5"/>
      <c r="X22" s="5"/>
      <c r="Y22" s="5"/>
      <c r="Z22" s="5"/>
    </row>
    <row r="23" ht="12.75" customHeight="1">
      <c r="A23" s="82"/>
      <c r="B23" s="83"/>
      <c r="C23" s="84"/>
      <c r="D23" s="84"/>
      <c r="E23" s="84"/>
      <c r="F23" s="84"/>
      <c r="G23" s="84"/>
      <c r="H23" s="84"/>
      <c r="I23" s="84"/>
      <c r="J23" s="84"/>
      <c r="K23" s="84"/>
      <c r="L23" s="84"/>
      <c r="M23" s="84"/>
      <c r="N23" s="84"/>
      <c r="O23" s="84"/>
      <c r="P23" s="84"/>
      <c r="Q23" s="84"/>
      <c r="R23" s="84"/>
      <c r="S23" s="84"/>
      <c r="T23" s="84"/>
      <c r="U23" s="84"/>
      <c r="V23" s="41"/>
      <c r="W23" s="5"/>
      <c r="X23" s="5"/>
      <c r="Y23" s="5"/>
      <c r="Z23" s="5"/>
    </row>
    <row r="24" ht="12.75" customHeight="1">
      <c r="A24" s="79" t="s">
        <v>296</v>
      </c>
      <c r="B24" s="80" t="s">
        <v>343</v>
      </c>
      <c r="C24" s="81">
        <f t="shared" ref="C24:U24" si="6">SUM(C25:C28)</f>
        <v>2753</v>
      </c>
      <c r="D24" s="81">
        <f t="shared" si="6"/>
        <v>2646</v>
      </c>
      <c r="E24" s="81">
        <f t="shared" si="6"/>
        <v>2739</v>
      </c>
      <c r="F24" s="81">
        <f t="shared" si="6"/>
        <v>4230</v>
      </c>
      <c r="G24" s="81">
        <f t="shared" si="6"/>
        <v>4428</v>
      </c>
      <c r="H24" s="81">
        <f t="shared" si="6"/>
        <v>4222</v>
      </c>
      <c r="I24" s="81">
        <f t="shared" si="6"/>
        <v>4699</v>
      </c>
      <c r="J24" s="81">
        <f t="shared" si="6"/>
        <v>4870</v>
      </c>
      <c r="K24" s="81">
        <f t="shared" si="6"/>
        <v>5363</v>
      </c>
      <c r="L24" s="81">
        <f t="shared" si="6"/>
        <v>11058</v>
      </c>
      <c r="M24" s="81">
        <f t="shared" si="6"/>
        <v>8715.81887</v>
      </c>
      <c r="N24" s="81">
        <f t="shared" si="6"/>
        <v>10532.87</v>
      </c>
      <c r="O24" s="81">
        <f t="shared" si="6"/>
        <v>9997.42</v>
      </c>
      <c r="P24" s="81">
        <f t="shared" si="6"/>
        <v>9420.07</v>
      </c>
      <c r="Q24" s="81">
        <f t="shared" si="6"/>
        <v>9386.71</v>
      </c>
      <c r="R24" s="81">
        <f t="shared" si="6"/>
        <v>9984</v>
      </c>
      <c r="S24" s="81">
        <f t="shared" si="6"/>
        <v>12843.56</v>
      </c>
      <c r="T24" s="81">
        <f t="shared" si="6"/>
        <v>11346.38</v>
      </c>
      <c r="U24" s="81">
        <f t="shared" si="6"/>
        <v>13712.05</v>
      </c>
      <c r="V24" s="41"/>
      <c r="W24" s="5"/>
      <c r="X24" s="5"/>
      <c r="Y24" s="5"/>
      <c r="Z24" s="5"/>
    </row>
    <row r="25" ht="12.75" customHeight="1">
      <c r="A25" s="82" t="s">
        <v>493</v>
      </c>
      <c r="B25" s="83" t="s">
        <v>494</v>
      </c>
      <c r="C25" s="53">
        <v>2142.0</v>
      </c>
      <c r="D25" s="53">
        <v>1914.0</v>
      </c>
      <c r="E25" s="53">
        <v>1828.0</v>
      </c>
      <c r="F25" s="53">
        <v>2724.0</v>
      </c>
      <c r="G25" s="53">
        <v>2458.0</v>
      </c>
      <c r="H25" s="53">
        <v>2188.0</v>
      </c>
      <c r="I25" s="53">
        <v>1975.0</v>
      </c>
      <c r="J25" s="53">
        <v>1749.0</v>
      </c>
      <c r="K25" s="53">
        <v>1449.0</v>
      </c>
      <c r="L25" s="53">
        <v>1144.0</v>
      </c>
      <c r="M25" s="53">
        <v>2096.76372</v>
      </c>
      <c r="N25" s="53">
        <v>1790.17</v>
      </c>
      <c r="O25" s="53">
        <v>1455.46</v>
      </c>
      <c r="P25" s="53">
        <v>1115.45</v>
      </c>
      <c r="Q25" s="53">
        <v>866.88</v>
      </c>
      <c r="R25" s="53">
        <v>2364.0</v>
      </c>
      <c r="S25" s="53">
        <v>1723.95</v>
      </c>
      <c r="T25" s="53">
        <v>1262.02</v>
      </c>
      <c r="U25" s="53">
        <v>793.96</v>
      </c>
      <c r="V25" s="41"/>
      <c r="W25" s="5"/>
      <c r="X25" s="5"/>
      <c r="Y25" s="5"/>
      <c r="Z25" s="5"/>
    </row>
    <row r="26" ht="12.75" customHeight="1">
      <c r="A26" s="82" t="s">
        <v>327</v>
      </c>
      <c r="B26" s="83" t="s">
        <v>328</v>
      </c>
      <c r="C26" s="53">
        <v>0.0</v>
      </c>
      <c r="D26" s="53">
        <v>0.0</v>
      </c>
      <c r="E26" s="53">
        <v>0.0</v>
      </c>
      <c r="F26" s="53">
        <v>0.0</v>
      </c>
      <c r="G26" s="53">
        <v>0.0</v>
      </c>
      <c r="H26" s="53">
        <v>0.0</v>
      </c>
      <c r="I26" s="53">
        <v>0.0</v>
      </c>
      <c r="J26" s="53">
        <v>0.0</v>
      </c>
      <c r="K26" s="53">
        <v>0.0</v>
      </c>
      <c r="L26" s="53">
        <v>0.0</v>
      </c>
      <c r="M26" s="53">
        <v>0.0</v>
      </c>
      <c r="N26" s="53">
        <v>0.0</v>
      </c>
      <c r="O26" s="53">
        <v>0.0</v>
      </c>
      <c r="P26" s="53">
        <v>0.0</v>
      </c>
      <c r="Q26" s="53">
        <v>0.0</v>
      </c>
      <c r="R26" s="53">
        <v>0.0</v>
      </c>
      <c r="S26" s="53">
        <v>0.0</v>
      </c>
      <c r="T26" s="53">
        <v>0.0</v>
      </c>
      <c r="U26" s="53">
        <v>0.0</v>
      </c>
      <c r="V26" s="41"/>
      <c r="W26" s="5"/>
      <c r="X26" s="5"/>
      <c r="Y26" s="5"/>
      <c r="Z26" s="5"/>
    </row>
    <row r="27" ht="12.75" customHeight="1">
      <c r="A27" s="82" t="s">
        <v>130</v>
      </c>
      <c r="B27" s="83" t="s">
        <v>131</v>
      </c>
      <c r="C27" s="53">
        <v>611.0</v>
      </c>
      <c r="D27" s="53">
        <v>637.0</v>
      </c>
      <c r="E27" s="53">
        <v>675.0</v>
      </c>
      <c r="F27" s="53">
        <v>708.0</v>
      </c>
      <c r="G27" s="53">
        <v>1039.0</v>
      </c>
      <c r="H27" s="53">
        <v>1038.0</v>
      </c>
      <c r="I27" s="53">
        <v>1097.0</v>
      </c>
      <c r="J27" s="53">
        <v>1166.0</v>
      </c>
      <c r="K27" s="53">
        <v>1617.0</v>
      </c>
      <c r="L27" s="53">
        <v>1642.0</v>
      </c>
      <c r="M27" s="53">
        <v>2500.2929700000004</v>
      </c>
      <c r="N27" s="53">
        <v>2477.58</v>
      </c>
      <c r="O27" s="53">
        <v>2381.53</v>
      </c>
      <c r="P27" s="53">
        <v>2645.47</v>
      </c>
      <c r="Q27" s="53">
        <v>1700.24</v>
      </c>
      <c r="R27" s="53">
        <v>936.0</v>
      </c>
      <c r="S27" s="53">
        <v>1025.68</v>
      </c>
      <c r="T27" s="53">
        <v>763.88</v>
      </c>
      <c r="U27" s="53">
        <v>708.84</v>
      </c>
      <c r="V27" s="41"/>
      <c r="W27" s="5"/>
      <c r="X27" s="5"/>
      <c r="Y27" s="5"/>
      <c r="Z27" s="5"/>
    </row>
    <row r="28" ht="12.75" customHeight="1">
      <c r="A28" s="82" t="s">
        <v>337</v>
      </c>
      <c r="B28" s="83" t="s">
        <v>338</v>
      </c>
      <c r="C28" s="53">
        <v>0.0</v>
      </c>
      <c r="D28" s="53">
        <v>95.0</v>
      </c>
      <c r="E28" s="53">
        <v>236.0</v>
      </c>
      <c r="F28" s="53">
        <v>798.0</v>
      </c>
      <c r="G28" s="53">
        <v>931.0</v>
      </c>
      <c r="H28" s="53">
        <v>996.0</v>
      </c>
      <c r="I28" s="53">
        <v>1627.0</v>
      </c>
      <c r="J28" s="53">
        <v>1955.0</v>
      </c>
      <c r="K28" s="53">
        <v>2297.0</v>
      </c>
      <c r="L28" s="53">
        <v>8272.0</v>
      </c>
      <c r="M28" s="53">
        <v>4118.76218</v>
      </c>
      <c r="N28" s="53">
        <v>6265.12</v>
      </c>
      <c r="O28" s="53">
        <v>6160.43</v>
      </c>
      <c r="P28" s="53">
        <v>5659.15</v>
      </c>
      <c r="Q28" s="53">
        <v>6819.59</v>
      </c>
      <c r="R28" s="53">
        <v>6684.0</v>
      </c>
      <c r="S28" s="53">
        <v>10093.93</v>
      </c>
      <c r="T28" s="53">
        <v>9320.48</v>
      </c>
      <c r="U28" s="53">
        <v>12209.25</v>
      </c>
      <c r="V28" s="84"/>
      <c r="W28" s="5"/>
      <c r="X28" s="5"/>
      <c r="Y28" s="5"/>
      <c r="Z28" s="5"/>
    </row>
    <row r="29" ht="12.75" customHeight="1">
      <c r="A29" s="82"/>
      <c r="B29" s="83"/>
      <c r="C29" s="84"/>
      <c r="D29" s="84"/>
      <c r="E29" s="84"/>
      <c r="F29" s="84"/>
      <c r="G29" s="84"/>
      <c r="H29" s="84"/>
      <c r="I29" s="84"/>
      <c r="J29" s="84"/>
      <c r="K29" s="84"/>
      <c r="L29" s="84"/>
      <c r="M29" s="84"/>
      <c r="N29" s="84"/>
      <c r="O29" s="84"/>
      <c r="P29" s="84"/>
      <c r="Q29" s="84"/>
      <c r="R29" s="84"/>
      <c r="S29" s="84"/>
      <c r="T29" s="84"/>
      <c r="U29" s="84"/>
      <c r="V29" s="41"/>
      <c r="W29" s="5"/>
      <c r="X29" s="5"/>
      <c r="Y29" s="5"/>
      <c r="Z29" s="5"/>
    </row>
    <row r="30" ht="12.75" customHeight="1">
      <c r="A30" s="79" t="s">
        <v>351</v>
      </c>
      <c r="B30" s="80" t="s">
        <v>352</v>
      </c>
      <c r="C30" s="58">
        <v>78166.0</v>
      </c>
      <c r="D30" s="58">
        <v>85867.0</v>
      </c>
      <c r="E30" s="58">
        <v>95391.0</v>
      </c>
      <c r="F30" s="58">
        <v>109867.0</v>
      </c>
      <c r="G30" s="58">
        <v>108951.0</v>
      </c>
      <c r="H30" s="58">
        <v>115230.0</v>
      </c>
      <c r="I30" s="58">
        <v>624231.0</v>
      </c>
      <c r="J30" s="58">
        <v>457356.0</v>
      </c>
      <c r="K30" s="58">
        <v>454590.0</v>
      </c>
      <c r="L30" s="58">
        <v>446469.0</v>
      </c>
      <c r="M30" s="58">
        <v>649146.3122599999</v>
      </c>
      <c r="N30" s="58">
        <v>646733.2</v>
      </c>
      <c r="O30" s="58">
        <v>638212.1399999999</v>
      </c>
      <c r="P30" s="58">
        <v>631089.7699999999</v>
      </c>
      <c r="Q30" s="58">
        <v>635205.0</v>
      </c>
      <c r="R30" s="58">
        <v>643592.0</v>
      </c>
      <c r="S30" s="58">
        <v>649228.96</v>
      </c>
      <c r="T30" s="58">
        <v>649535.26</v>
      </c>
      <c r="U30" s="58">
        <v>628822.72</v>
      </c>
      <c r="V30" s="41"/>
      <c r="W30" s="5"/>
      <c r="X30" s="5"/>
      <c r="Y30" s="5"/>
      <c r="Z30" s="5"/>
    </row>
    <row r="31" ht="12.75" customHeight="1">
      <c r="A31" s="41"/>
      <c r="B31" s="41"/>
      <c r="C31" s="41"/>
      <c r="D31" s="41"/>
      <c r="E31" s="41"/>
      <c r="F31" s="41"/>
      <c r="G31" s="41"/>
      <c r="H31" s="41"/>
      <c r="I31" s="41"/>
      <c r="J31" s="41"/>
      <c r="K31" s="41"/>
      <c r="L31" s="41"/>
      <c r="M31" s="41"/>
      <c r="N31" s="41"/>
      <c r="O31" s="41"/>
      <c r="P31" s="41"/>
      <c r="Q31" s="41"/>
      <c r="R31" s="41"/>
      <c r="S31" s="41"/>
      <c r="T31" s="41"/>
      <c r="U31" s="41"/>
      <c r="V31" s="41"/>
      <c r="W31" s="5"/>
      <c r="X31" s="5"/>
      <c r="Y31" s="5"/>
      <c r="Z31" s="5"/>
    </row>
    <row r="32" ht="12.75" customHeight="1">
      <c r="A32" s="41"/>
      <c r="B32" s="41"/>
      <c r="C32" s="41"/>
      <c r="D32" s="41"/>
      <c r="E32" s="41"/>
      <c r="F32" s="41"/>
      <c r="G32" s="41"/>
      <c r="H32" s="41"/>
      <c r="I32" s="41"/>
      <c r="J32" s="41"/>
      <c r="K32" s="41"/>
      <c r="L32" s="41"/>
      <c r="M32" s="41"/>
      <c r="N32" s="41"/>
      <c r="O32" s="41"/>
      <c r="P32" s="41"/>
      <c r="Q32" s="41"/>
      <c r="R32" s="41"/>
      <c r="S32" s="41"/>
      <c r="T32" s="41"/>
      <c r="U32" s="41"/>
      <c r="V32" s="41"/>
      <c r="W32" s="5"/>
      <c r="X32" s="5"/>
      <c r="Y32" s="5"/>
      <c r="Z32" s="5"/>
    </row>
    <row r="33" ht="12.75" customHeight="1">
      <c r="A33" s="41"/>
      <c r="B33" s="41"/>
      <c r="C33" s="41"/>
      <c r="D33" s="41"/>
      <c r="E33" s="41"/>
      <c r="F33" s="41"/>
      <c r="G33" s="41"/>
      <c r="H33" s="41"/>
      <c r="I33" s="41"/>
      <c r="J33" s="41"/>
      <c r="K33" s="41"/>
      <c r="L33" s="41"/>
      <c r="M33" s="41"/>
      <c r="N33" s="41"/>
      <c r="O33" s="41"/>
      <c r="P33" s="41"/>
      <c r="Q33" s="41"/>
      <c r="R33" s="41"/>
      <c r="S33" s="41"/>
      <c r="T33" s="41"/>
      <c r="U33" s="41"/>
      <c r="V33" s="41"/>
      <c r="W33" s="5"/>
      <c r="X33" s="5"/>
      <c r="Y33" s="5"/>
      <c r="Z33" s="5"/>
    </row>
    <row r="34" ht="12.75" customHeight="1">
      <c r="A34" s="41"/>
      <c r="B34" s="41"/>
      <c r="C34" s="41"/>
      <c r="D34" s="41"/>
      <c r="E34" s="41"/>
      <c r="F34" s="41"/>
      <c r="G34" s="41"/>
      <c r="H34" s="41"/>
      <c r="I34" s="41"/>
      <c r="J34" s="41"/>
      <c r="K34" s="41"/>
      <c r="L34" s="41"/>
      <c r="M34" s="41"/>
      <c r="N34" s="41"/>
      <c r="O34" s="41"/>
      <c r="P34" s="41"/>
      <c r="Q34" s="41"/>
      <c r="R34" s="41"/>
      <c r="S34" s="41"/>
      <c r="T34" s="41"/>
      <c r="U34" s="41"/>
      <c r="V34" s="41"/>
      <c r="W34" s="5"/>
      <c r="X34" s="5"/>
      <c r="Y34" s="5"/>
      <c r="Z34" s="5"/>
    </row>
    <row r="35" ht="12.75" customHeight="1">
      <c r="A35" s="41"/>
      <c r="B35" s="41"/>
      <c r="C35" s="41"/>
      <c r="D35" s="41"/>
      <c r="E35" s="41"/>
      <c r="F35" s="41"/>
      <c r="G35" s="41"/>
      <c r="H35" s="41"/>
      <c r="I35" s="41"/>
      <c r="J35" s="41"/>
      <c r="K35" s="41"/>
      <c r="L35" s="41"/>
      <c r="M35" s="41"/>
      <c r="N35" s="41"/>
      <c r="O35" s="41"/>
      <c r="P35" s="41"/>
      <c r="Q35" s="41"/>
      <c r="R35" s="41"/>
      <c r="S35" s="41"/>
      <c r="T35" s="41"/>
      <c r="U35" s="41"/>
      <c r="V35" s="41"/>
      <c r="W35" s="5"/>
      <c r="X35" s="5"/>
      <c r="Y35" s="5"/>
      <c r="Z35" s="5"/>
    </row>
    <row r="36" ht="12.75" customHeight="1">
      <c r="A36" s="41"/>
      <c r="B36" s="41"/>
      <c r="C36" s="41"/>
      <c r="D36" s="41"/>
      <c r="E36" s="41"/>
      <c r="F36" s="41"/>
      <c r="G36" s="41"/>
      <c r="H36" s="41"/>
      <c r="I36" s="41"/>
      <c r="J36" s="41"/>
      <c r="K36" s="41"/>
      <c r="L36" s="41"/>
      <c r="M36" s="41"/>
      <c r="N36" s="41"/>
      <c r="O36" s="41"/>
      <c r="P36" s="41"/>
      <c r="Q36" s="41"/>
      <c r="R36" s="41"/>
      <c r="S36" s="41"/>
      <c r="T36" s="41"/>
      <c r="U36" s="41"/>
      <c r="V36" s="41"/>
      <c r="W36" s="5"/>
      <c r="X36" s="5"/>
      <c r="Y36" s="5"/>
      <c r="Z36" s="5"/>
    </row>
    <row r="37" ht="12.75" customHeight="1">
      <c r="A37" s="41"/>
      <c r="B37" s="41"/>
      <c r="C37" s="41"/>
      <c r="D37" s="41"/>
      <c r="E37" s="41"/>
      <c r="F37" s="41"/>
      <c r="G37" s="41"/>
      <c r="H37" s="41"/>
      <c r="I37" s="41"/>
      <c r="J37" s="41"/>
      <c r="K37" s="41"/>
      <c r="L37" s="41"/>
      <c r="M37" s="41"/>
      <c r="N37" s="41"/>
      <c r="O37" s="41"/>
      <c r="P37" s="41"/>
      <c r="Q37" s="41"/>
      <c r="R37" s="41"/>
      <c r="S37" s="41"/>
      <c r="T37" s="41"/>
      <c r="U37" s="41"/>
      <c r="V37" s="41"/>
      <c r="W37" s="5"/>
      <c r="X37" s="5"/>
      <c r="Y37" s="5"/>
      <c r="Z37" s="5"/>
    </row>
    <row r="38" ht="12.75" customHeight="1">
      <c r="A38" s="41"/>
      <c r="B38" s="41"/>
      <c r="C38" s="41"/>
      <c r="D38" s="41"/>
      <c r="E38" s="41"/>
      <c r="F38" s="41"/>
      <c r="G38" s="41"/>
      <c r="H38" s="41"/>
      <c r="I38" s="41"/>
      <c r="J38" s="41"/>
      <c r="K38" s="41"/>
      <c r="L38" s="41"/>
      <c r="M38" s="41"/>
      <c r="N38" s="41"/>
      <c r="O38" s="41"/>
      <c r="P38" s="41"/>
      <c r="Q38" s="41"/>
      <c r="R38" s="41"/>
      <c r="S38" s="41"/>
      <c r="T38" s="41"/>
      <c r="U38" s="41"/>
      <c r="V38" s="41"/>
      <c r="W38" s="5"/>
      <c r="X38" s="5"/>
      <c r="Y38" s="5"/>
      <c r="Z38" s="5"/>
    </row>
    <row r="39" ht="12.75" customHeight="1">
      <c r="A39" s="41"/>
      <c r="B39" s="41"/>
      <c r="C39" s="41"/>
      <c r="D39" s="41"/>
      <c r="E39" s="41"/>
      <c r="F39" s="41"/>
      <c r="G39" s="41"/>
      <c r="H39" s="41"/>
      <c r="I39" s="41"/>
      <c r="J39" s="41"/>
      <c r="K39" s="41"/>
      <c r="L39" s="41"/>
      <c r="M39" s="41"/>
      <c r="N39" s="41"/>
      <c r="O39" s="41"/>
      <c r="P39" s="41"/>
      <c r="Q39" s="41"/>
      <c r="R39" s="41"/>
      <c r="S39" s="41"/>
      <c r="T39" s="41"/>
      <c r="U39" s="41"/>
      <c r="V39" s="41"/>
      <c r="W39" s="5"/>
      <c r="X39" s="5"/>
      <c r="Y39" s="5"/>
      <c r="Z39" s="5"/>
    </row>
    <row r="40" ht="12.75" customHeight="1">
      <c r="A40" s="41"/>
      <c r="B40" s="41"/>
      <c r="C40" s="41"/>
      <c r="D40" s="41"/>
      <c r="E40" s="41"/>
      <c r="F40" s="41"/>
      <c r="G40" s="41"/>
      <c r="H40" s="41"/>
      <c r="I40" s="41"/>
      <c r="J40" s="41"/>
      <c r="K40" s="41"/>
      <c r="L40" s="41"/>
      <c r="M40" s="41"/>
      <c r="N40" s="41"/>
      <c r="O40" s="41"/>
      <c r="P40" s="41"/>
      <c r="Q40" s="41"/>
      <c r="R40" s="41"/>
      <c r="S40" s="41"/>
      <c r="T40" s="41"/>
      <c r="U40" s="41"/>
      <c r="V40" s="41"/>
      <c r="W40" s="5"/>
      <c r="X40" s="5"/>
      <c r="Y40" s="5"/>
      <c r="Z40" s="5"/>
    </row>
    <row r="41" ht="12.75" customHeight="1">
      <c r="A41" s="41"/>
      <c r="B41" s="41"/>
      <c r="C41" s="41"/>
      <c r="D41" s="41"/>
      <c r="E41" s="41"/>
      <c r="F41" s="41"/>
      <c r="G41" s="41"/>
      <c r="H41" s="41"/>
      <c r="I41" s="41"/>
      <c r="J41" s="41"/>
      <c r="K41" s="41"/>
      <c r="L41" s="41"/>
      <c r="M41" s="41"/>
      <c r="N41" s="41"/>
      <c r="O41" s="41"/>
      <c r="P41" s="41"/>
      <c r="Q41" s="41"/>
      <c r="R41" s="41"/>
      <c r="S41" s="41"/>
      <c r="T41" s="41"/>
      <c r="U41" s="41"/>
      <c r="V41" s="41"/>
      <c r="W41" s="5"/>
      <c r="X41" s="5"/>
      <c r="Y41" s="5"/>
      <c r="Z41" s="5"/>
    </row>
    <row r="42" ht="12.75" customHeight="1">
      <c r="A42" s="41"/>
      <c r="B42" s="41"/>
      <c r="C42" s="41"/>
      <c r="D42" s="41"/>
      <c r="E42" s="41"/>
      <c r="F42" s="41"/>
      <c r="G42" s="41"/>
      <c r="H42" s="41"/>
      <c r="I42" s="41"/>
      <c r="J42" s="41"/>
      <c r="K42" s="41"/>
      <c r="L42" s="41"/>
      <c r="M42" s="41"/>
      <c r="N42" s="41"/>
      <c r="O42" s="41"/>
      <c r="P42" s="41"/>
      <c r="Q42" s="41"/>
      <c r="R42" s="41"/>
      <c r="S42" s="41"/>
      <c r="T42" s="41"/>
      <c r="U42" s="41"/>
      <c r="V42" s="41"/>
      <c r="W42" s="5"/>
      <c r="X42" s="5"/>
      <c r="Y42" s="5"/>
      <c r="Z42" s="5"/>
    </row>
    <row r="43" ht="12.75" customHeight="1">
      <c r="A43" s="41"/>
      <c r="B43" s="41"/>
      <c r="C43" s="41"/>
      <c r="D43" s="41"/>
      <c r="E43" s="41"/>
      <c r="F43" s="41"/>
      <c r="G43" s="41"/>
      <c r="H43" s="41"/>
      <c r="I43" s="41"/>
      <c r="J43" s="41"/>
      <c r="K43" s="41"/>
      <c r="L43" s="41"/>
      <c r="M43" s="41"/>
      <c r="N43" s="41"/>
      <c r="O43" s="41"/>
      <c r="P43" s="41"/>
      <c r="Q43" s="41"/>
      <c r="R43" s="41"/>
      <c r="S43" s="41"/>
      <c r="T43" s="41"/>
      <c r="U43" s="41"/>
      <c r="V43" s="41"/>
      <c r="W43" s="5"/>
      <c r="X43" s="5"/>
      <c r="Y43" s="5"/>
      <c r="Z43" s="5"/>
    </row>
    <row r="44" ht="12.75" customHeight="1">
      <c r="A44" s="41"/>
      <c r="B44" s="41"/>
      <c r="C44" s="41"/>
      <c r="D44" s="41"/>
      <c r="E44" s="41"/>
      <c r="F44" s="41"/>
      <c r="G44" s="41"/>
      <c r="H44" s="41"/>
      <c r="I44" s="41"/>
      <c r="J44" s="41"/>
      <c r="K44" s="41"/>
      <c r="L44" s="41"/>
      <c r="M44" s="41"/>
      <c r="N44" s="41"/>
      <c r="O44" s="41"/>
      <c r="P44" s="41"/>
      <c r="Q44" s="41"/>
      <c r="R44" s="41"/>
      <c r="S44" s="41"/>
      <c r="T44" s="41"/>
      <c r="U44" s="41"/>
      <c r="V44" s="41"/>
      <c r="W44" s="5"/>
      <c r="X44" s="5"/>
      <c r="Y44" s="5"/>
      <c r="Z44" s="5"/>
    </row>
    <row r="45" ht="12.75" customHeight="1">
      <c r="A45" s="41"/>
      <c r="B45" s="41"/>
      <c r="C45" s="41"/>
      <c r="D45" s="41"/>
      <c r="E45" s="41"/>
      <c r="F45" s="41"/>
      <c r="G45" s="41"/>
      <c r="H45" s="41"/>
      <c r="I45" s="41"/>
      <c r="J45" s="41"/>
      <c r="K45" s="41"/>
      <c r="L45" s="41"/>
      <c r="M45" s="41"/>
      <c r="N45" s="41"/>
      <c r="O45" s="41"/>
      <c r="P45" s="41"/>
      <c r="Q45" s="41"/>
      <c r="R45" s="41"/>
      <c r="S45" s="41"/>
      <c r="T45" s="41"/>
      <c r="U45" s="41"/>
      <c r="V45" s="41"/>
      <c r="W45" s="5"/>
      <c r="X45" s="5"/>
      <c r="Y45" s="5"/>
      <c r="Z45" s="5"/>
    </row>
    <row r="46" ht="12.75" customHeight="1">
      <c r="A46" s="41"/>
      <c r="B46" s="41"/>
      <c r="C46" s="41"/>
      <c r="D46" s="41"/>
      <c r="E46" s="41"/>
      <c r="F46" s="41"/>
      <c r="G46" s="41"/>
      <c r="H46" s="41"/>
      <c r="I46" s="41"/>
      <c r="J46" s="41"/>
      <c r="K46" s="41"/>
      <c r="L46" s="41"/>
      <c r="M46" s="41"/>
      <c r="N46" s="41"/>
      <c r="O46" s="41"/>
      <c r="P46" s="41"/>
      <c r="Q46" s="41"/>
      <c r="R46" s="41"/>
      <c r="S46" s="41"/>
      <c r="T46" s="41"/>
      <c r="U46" s="41"/>
      <c r="V46" s="41"/>
      <c r="W46" s="5"/>
      <c r="X46" s="5"/>
      <c r="Y46" s="5"/>
      <c r="Z46" s="5"/>
    </row>
    <row r="47" ht="12.75" customHeight="1">
      <c r="A47" s="41"/>
      <c r="B47" s="41"/>
      <c r="C47" s="41"/>
      <c r="D47" s="41"/>
      <c r="E47" s="41"/>
      <c r="F47" s="41"/>
      <c r="G47" s="41"/>
      <c r="H47" s="41"/>
      <c r="I47" s="41"/>
      <c r="J47" s="41"/>
      <c r="K47" s="41"/>
      <c r="L47" s="41"/>
      <c r="M47" s="41"/>
      <c r="N47" s="41"/>
      <c r="O47" s="41"/>
      <c r="P47" s="41"/>
      <c r="Q47" s="41"/>
      <c r="R47" s="41"/>
      <c r="S47" s="41"/>
      <c r="T47" s="41"/>
      <c r="U47" s="41"/>
      <c r="V47" s="41"/>
      <c r="W47" s="5"/>
      <c r="X47" s="5"/>
      <c r="Y47" s="5"/>
      <c r="Z47" s="5"/>
    </row>
    <row r="48" ht="12.75" customHeight="1">
      <c r="A48" s="41"/>
      <c r="B48" s="41"/>
      <c r="C48" s="41"/>
      <c r="D48" s="41"/>
      <c r="E48" s="41"/>
      <c r="F48" s="41"/>
      <c r="G48" s="41"/>
      <c r="H48" s="41"/>
      <c r="I48" s="41"/>
      <c r="J48" s="41"/>
      <c r="K48" s="41"/>
      <c r="L48" s="41"/>
      <c r="M48" s="41"/>
      <c r="N48" s="41"/>
      <c r="O48" s="41"/>
      <c r="P48" s="41"/>
      <c r="Q48" s="41"/>
      <c r="R48" s="41"/>
      <c r="S48" s="41"/>
      <c r="T48" s="41"/>
      <c r="U48" s="41"/>
      <c r="V48" s="41"/>
      <c r="W48" s="5"/>
      <c r="X48" s="5"/>
      <c r="Y48" s="5"/>
      <c r="Z48" s="5"/>
    </row>
    <row r="49" ht="12.75" customHeight="1">
      <c r="A49" s="41"/>
      <c r="B49" s="41"/>
      <c r="C49" s="41"/>
      <c r="D49" s="41"/>
      <c r="E49" s="41"/>
      <c r="F49" s="41"/>
      <c r="G49" s="41"/>
      <c r="H49" s="41"/>
      <c r="I49" s="41"/>
      <c r="J49" s="41"/>
      <c r="K49" s="41"/>
      <c r="L49" s="41"/>
      <c r="M49" s="41"/>
      <c r="N49" s="41"/>
      <c r="O49" s="41"/>
      <c r="P49" s="41"/>
      <c r="Q49" s="41"/>
      <c r="R49" s="41"/>
      <c r="S49" s="41"/>
      <c r="T49" s="41"/>
      <c r="U49" s="41"/>
      <c r="V49" s="41"/>
      <c r="W49" s="5"/>
      <c r="X49" s="5"/>
      <c r="Y49" s="5"/>
      <c r="Z49" s="5"/>
    </row>
    <row r="50" ht="12.75" customHeight="1">
      <c r="A50" s="41"/>
      <c r="B50" s="41"/>
      <c r="C50" s="41"/>
      <c r="D50" s="41"/>
      <c r="E50" s="41"/>
      <c r="F50" s="41"/>
      <c r="G50" s="41"/>
      <c r="H50" s="41"/>
      <c r="I50" s="41"/>
      <c r="J50" s="41"/>
      <c r="K50" s="41"/>
      <c r="L50" s="41"/>
      <c r="M50" s="41"/>
      <c r="N50" s="41"/>
      <c r="O50" s="41"/>
      <c r="P50" s="41"/>
      <c r="Q50" s="41"/>
      <c r="R50" s="41"/>
      <c r="S50" s="41"/>
      <c r="T50" s="41"/>
      <c r="U50" s="41"/>
      <c r="V50" s="41"/>
      <c r="W50" s="5"/>
      <c r="X50" s="5"/>
      <c r="Y50" s="5"/>
      <c r="Z50" s="5"/>
    </row>
    <row r="51" ht="12.75" customHeight="1">
      <c r="A51" s="41"/>
      <c r="B51" s="41"/>
      <c r="C51" s="41"/>
      <c r="D51" s="41"/>
      <c r="E51" s="41"/>
      <c r="F51" s="41"/>
      <c r="G51" s="41"/>
      <c r="H51" s="41"/>
      <c r="I51" s="41"/>
      <c r="J51" s="41"/>
      <c r="K51" s="41"/>
      <c r="L51" s="41"/>
      <c r="M51" s="41"/>
      <c r="N51" s="41"/>
      <c r="O51" s="41"/>
      <c r="P51" s="41"/>
      <c r="Q51" s="41"/>
      <c r="R51" s="41"/>
      <c r="S51" s="41"/>
      <c r="T51" s="41"/>
      <c r="U51" s="41"/>
      <c r="V51" s="41"/>
      <c r="W51" s="5"/>
      <c r="X51" s="5"/>
      <c r="Y51" s="5"/>
      <c r="Z51" s="5"/>
    </row>
    <row r="52" ht="12.75" customHeight="1">
      <c r="A52" s="41"/>
      <c r="B52" s="41"/>
      <c r="C52" s="41"/>
      <c r="D52" s="41"/>
      <c r="E52" s="41"/>
      <c r="F52" s="41"/>
      <c r="G52" s="41"/>
      <c r="H52" s="41"/>
      <c r="I52" s="41"/>
      <c r="J52" s="41"/>
      <c r="K52" s="41"/>
      <c r="L52" s="41"/>
      <c r="M52" s="41"/>
      <c r="N52" s="41"/>
      <c r="O52" s="41"/>
      <c r="P52" s="41"/>
      <c r="Q52" s="41"/>
      <c r="R52" s="41"/>
      <c r="S52" s="41"/>
      <c r="T52" s="41"/>
      <c r="U52" s="41"/>
      <c r="V52" s="41"/>
      <c r="W52" s="5"/>
      <c r="X52" s="5"/>
      <c r="Y52" s="5"/>
      <c r="Z52" s="5"/>
    </row>
    <row r="53" ht="12.75" customHeight="1">
      <c r="A53" s="41"/>
      <c r="B53" s="41"/>
      <c r="C53" s="41"/>
      <c r="D53" s="41"/>
      <c r="E53" s="41"/>
      <c r="F53" s="41"/>
      <c r="G53" s="41"/>
      <c r="H53" s="41"/>
      <c r="I53" s="41"/>
      <c r="J53" s="41"/>
      <c r="K53" s="41"/>
      <c r="L53" s="41"/>
      <c r="M53" s="41"/>
      <c r="N53" s="41"/>
      <c r="O53" s="41"/>
      <c r="P53" s="41"/>
      <c r="Q53" s="41"/>
      <c r="R53" s="41"/>
      <c r="S53" s="41"/>
      <c r="T53" s="41"/>
      <c r="U53" s="41"/>
      <c r="V53" s="41"/>
      <c r="W53" s="5"/>
      <c r="X53" s="5"/>
      <c r="Y53" s="5"/>
      <c r="Z53" s="5"/>
    </row>
    <row r="54" ht="12.75" customHeight="1">
      <c r="A54" s="41"/>
      <c r="B54" s="41"/>
      <c r="C54" s="41"/>
      <c r="D54" s="41"/>
      <c r="E54" s="41"/>
      <c r="F54" s="41"/>
      <c r="G54" s="41"/>
      <c r="H54" s="41"/>
      <c r="I54" s="41"/>
      <c r="J54" s="41"/>
      <c r="K54" s="41"/>
      <c r="L54" s="41"/>
      <c r="M54" s="41"/>
      <c r="N54" s="41"/>
      <c r="O54" s="41"/>
      <c r="P54" s="41"/>
      <c r="Q54" s="41"/>
      <c r="R54" s="41"/>
      <c r="S54" s="41"/>
      <c r="T54" s="41"/>
      <c r="U54" s="41"/>
      <c r="V54" s="41"/>
      <c r="W54" s="5"/>
      <c r="X54" s="5"/>
      <c r="Y54" s="5"/>
      <c r="Z54" s="5"/>
    </row>
    <row r="55" ht="12.75" customHeight="1">
      <c r="A55" s="41"/>
      <c r="B55" s="41"/>
      <c r="C55" s="41"/>
      <c r="D55" s="41"/>
      <c r="E55" s="41"/>
      <c r="F55" s="41"/>
      <c r="G55" s="41"/>
      <c r="H55" s="41"/>
      <c r="I55" s="41"/>
      <c r="J55" s="41"/>
      <c r="K55" s="41"/>
      <c r="L55" s="41"/>
      <c r="M55" s="41"/>
      <c r="N55" s="41"/>
      <c r="O55" s="41"/>
      <c r="P55" s="41"/>
      <c r="Q55" s="41"/>
      <c r="R55" s="41"/>
      <c r="S55" s="41"/>
      <c r="T55" s="41"/>
      <c r="U55" s="41"/>
      <c r="V55" s="41"/>
      <c r="W55" s="5"/>
      <c r="X55" s="5"/>
      <c r="Y55" s="5"/>
      <c r="Z55" s="5"/>
    </row>
    <row r="56" ht="12.75" customHeight="1">
      <c r="A56" s="41"/>
      <c r="B56" s="41"/>
      <c r="C56" s="41"/>
      <c r="D56" s="41"/>
      <c r="E56" s="41"/>
      <c r="F56" s="41"/>
      <c r="G56" s="41"/>
      <c r="H56" s="41"/>
      <c r="I56" s="41"/>
      <c r="J56" s="41"/>
      <c r="K56" s="41"/>
      <c r="L56" s="41"/>
      <c r="M56" s="41"/>
      <c r="N56" s="41"/>
      <c r="O56" s="41"/>
      <c r="P56" s="41"/>
      <c r="Q56" s="41"/>
      <c r="R56" s="41"/>
      <c r="S56" s="41"/>
      <c r="T56" s="41"/>
      <c r="U56" s="41"/>
      <c r="V56" s="41"/>
      <c r="W56" s="5"/>
      <c r="X56" s="5"/>
      <c r="Y56" s="5"/>
      <c r="Z56" s="5"/>
    </row>
    <row r="57" ht="12.75" customHeight="1">
      <c r="A57" s="41"/>
      <c r="B57" s="41"/>
      <c r="C57" s="41"/>
      <c r="D57" s="41"/>
      <c r="E57" s="41"/>
      <c r="F57" s="41"/>
      <c r="G57" s="41"/>
      <c r="H57" s="41"/>
      <c r="I57" s="41"/>
      <c r="J57" s="41"/>
      <c r="K57" s="41"/>
      <c r="L57" s="41"/>
      <c r="M57" s="41"/>
      <c r="N57" s="41"/>
      <c r="O57" s="41"/>
      <c r="P57" s="41"/>
      <c r="Q57" s="41"/>
      <c r="R57" s="41"/>
      <c r="S57" s="41"/>
      <c r="T57" s="41"/>
      <c r="U57" s="41"/>
      <c r="V57" s="41"/>
      <c r="W57" s="5"/>
      <c r="X57" s="5"/>
      <c r="Y57" s="5"/>
      <c r="Z57" s="5"/>
    </row>
    <row r="58" ht="12.75" customHeight="1">
      <c r="A58" s="41"/>
      <c r="B58" s="41"/>
      <c r="C58" s="41"/>
      <c r="D58" s="41"/>
      <c r="E58" s="41"/>
      <c r="F58" s="41"/>
      <c r="G58" s="41"/>
      <c r="H58" s="41"/>
      <c r="I58" s="41"/>
      <c r="J58" s="41"/>
      <c r="K58" s="41"/>
      <c r="L58" s="41"/>
      <c r="M58" s="41"/>
      <c r="N58" s="41"/>
      <c r="O58" s="41"/>
      <c r="P58" s="41"/>
      <c r="Q58" s="41"/>
      <c r="R58" s="41"/>
      <c r="S58" s="41"/>
      <c r="T58" s="41"/>
      <c r="U58" s="41"/>
      <c r="V58" s="41"/>
      <c r="W58" s="5"/>
      <c r="X58" s="5"/>
      <c r="Y58" s="5"/>
      <c r="Z58" s="5"/>
    </row>
    <row r="59" ht="12.75" customHeight="1">
      <c r="A59" s="41"/>
      <c r="B59" s="41"/>
      <c r="C59" s="41"/>
      <c r="D59" s="41"/>
      <c r="E59" s="41"/>
      <c r="F59" s="41"/>
      <c r="G59" s="41"/>
      <c r="H59" s="41"/>
      <c r="I59" s="41"/>
      <c r="J59" s="41"/>
      <c r="K59" s="41"/>
      <c r="L59" s="41"/>
      <c r="M59" s="41"/>
      <c r="N59" s="41"/>
      <c r="O59" s="41"/>
      <c r="P59" s="41"/>
      <c r="Q59" s="41"/>
      <c r="R59" s="41"/>
      <c r="S59" s="41"/>
      <c r="T59" s="41"/>
      <c r="U59" s="41"/>
      <c r="V59" s="41"/>
      <c r="W59" s="5"/>
      <c r="X59" s="5"/>
      <c r="Y59" s="5"/>
      <c r="Z59" s="5"/>
    </row>
    <row r="60" ht="12.75" customHeight="1">
      <c r="A60" s="41"/>
      <c r="B60" s="41"/>
      <c r="C60" s="41"/>
      <c r="D60" s="41"/>
      <c r="E60" s="41"/>
      <c r="F60" s="41"/>
      <c r="G60" s="41"/>
      <c r="H60" s="41"/>
      <c r="I60" s="41"/>
      <c r="J60" s="41"/>
      <c r="K60" s="41"/>
      <c r="L60" s="41"/>
      <c r="M60" s="41"/>
      <c r="N60" s="41"/>
      <c r="O60" s="41"/>
      <c r="P60" s="41"/>
      <c r="Q60" s="41"/>
      <c r="R60" s="41"/>
      <c r="S60" s="41"/>
      <c r="T60" s="41"/>
      <c r="U60" s="41"/>
      <c r="V60" s="41"/>
      <c r="W60" s="5"/>
      <c r="X60" s="5"/>
      <c r="Y60" s="5"/>
      <c r="Z60" s="5"/>
    </row>
    <row r="61" ht="12.75" customHeight="1">
      <c r="A61" s="41"/>
      <c r="B61" s="41"/>
      <c r="C61" s="41"/>
      <c r="D61" s="41"/>
      <c r="E61" s="41"/>
      <c r="F61" s="41"/>
      <c r="G61" s="41"/>
      <c r="H61" s="41"/>
      <c r="I61" s="41"/>
      <c r="J61" s="41"/>
      <c r="K61" s="41"/>
      <c r="L61" s="41"/>
      <c r="M61" s="41"/>
      <c r="N61" s="41"/>
      <c r="O61" s="41"/>
      <c r="P61" s="41"/>
      <c r="Q61" s="41"/>
      <c r="R61" s="41"/>
      <c r="S61" s="41"/>
      <c r="T61" s="41"/>
      <c r="U61" s="41"/>
      <c r="V61" s="41"/>
      <c r="W61" s="5"/>
      <c r="X61" s="5"/>
      <c r="Y61" s="5"/>
      <c r="Z61" s="5"/>
    </row>
    <row r="62" ht="12.75" customHeight="1">
      <c r="A62" s="41"/>
      <c r="B62" s="41"/>
      <c r="C62" s="41"/>
      <c r="D62" s="41"/>
      <c r="E62" s="41"/>
      <c r="F62" s="41"/>
      <c r="G62" s="41"/>
      <c r="H62" s="41"/>
      <c r="I62" s="41"/>
      <c r="J62" s="41"/>
      <c r="K62" s="41"/>
      <c r="L62" s="41"/>
      <c r="M62" s="41"/>
      <c r="N62" s="41"/>
      <c r="O62" s="41"/>
      <c r="P62" s="41"/>
      <c r="Q62" s="41"/>
      <c r="R62" s="41"/>
      <c r="S62" s="41"/>
      <c r="T62" s="41"/>
      <c r="U62" s="41"/>
      <c r="V62" s="41"/>
      <c r="W62" s="5"/>
      <c r="X62" s="5"/>
      <c r="Y62" s="5"/>
      <c r="Z62" s="5"/>
    </row>
    <row r="63" ht="12.75" customHeight="1">
      <c r="A63" s="41"/>
      <c r="B63" s="41"/>
      <c r="C63" s="41"/>
      <c r="D63" s="41"/>
      <c r="E63" s="41"/>
      <c r="F63" s="41"/>
      <c r="G63" s="41"/>
      <c r="H63" s="41"/>
      <c r="I63" s="41"/>
      <c r="J63" s="41"/>
      <c r="K63" s="41"/>
      <c r="L63" s="41"/>
      <c r="M63" s="41"/>
      <c r="N63" s="41"/>
      <c r="O63" s="41"/>
      <c r="P63" s="41"/>
      <c r="Q63" s="41"/>
      <c r="R63" s="41"/>
      <c r="S63" s="41"/>
      <c r="T63" s="41"/>
      <c r="U63" s="41"/>
      <c r="V63" s="41"/>
      <c r="W63" s="5"/>
      <c r="X63" s="5"/>
      <c r="Y63" s="5"/>
      <c r="Z63" s="5"/>
    </row>
    <row r="64" ht="12.75" customHeight="1">
      <c r="A64" s="41"/>
      <c r="B64" s="41"/>
      <c r="C64" s="41"/>
      <c r="D64" s="41"/>
      <c r="E64" s="41"/>
      <c r="F64" s="41"/>
      <c r="G64" s="41"/>
      <c r="H64" s="41"/>
      <c r="I64" s="41"/>
      <c r="J64" s="41"/>
      <c r="K64" s="41"/>
      <c r="L64" s="41"/>
      <c r="M64" s="41"/>
      <c r="N64" s="41"/>
      <c r="O64" s="41"/>
      <c r="P64" s="41"/>
      <c r="Q64" s="41"/>
      <c r="R64" s="41"/>
      <c r="S64" s="41"/>
      <c r="T64" s="41"/>
      <c r="U64" s="41"/>
      <c r="V64" s="41"/>
      <c r="W64" s="5"/>
      <c r="X64" s="5"/>
      <c r="Y64" s="5"/>
      <c r="Z64" s="5"/>
    </row>
    <row r="65" ht="12.75" customHeight="1">
      <c r="A65" s="41"/>
      <c r="B65" s="41"/>
      <c r="C65" s="41"/>
      <c r="D65" s="41"/>
      <c r="E65" s="41"/>
      <c r="F65" s="41"/>
      <c r="G65" s="41"/>
      <c r="H65" s="41"/>
      <c r="I65" s="41"/>
      <c r="J65" s="41"/>
      <c r="K65" s="41"/>
      <c r="L65" s="41"/>
      <c r="M65" s="41"/>
      <c r="N65" s="41"/>
      <c r="O65" s="41"/>
      <c r="P65" s="41"/>
      <c r="Q65" s="41"/>
      <c r="R65" s="41"/>
      <c r="S65" s="41"/>
      <c r="T65" s="41"/>
      <c r="U65" s="41"/>
      <c r="V65" s="41"/>
      <c r="W65" s="5"/>
      <c r="X65" s="5"/>
      <c r="Y65" s="5"/>
      <c r="Z65" s="5"/>
    </row>
    <row r="66" ht="12.75" customHeight="1">
      <c r="A66" s="41"/>
      <c r="B66" s="41"/>
      <c r="C66" s="41"/>
      <c r="D66" s="41"/>
      <c r="E66" s="41"/>
      <c r="F66" s="41"/>
      <c r="G66" s="41"/>
      <c r="H66" s="41"/>
      <c r="I66" s="41"/>
      <c r="J66" s="41"/>
      <c r="K66" s="41"/>
      <c r="L66" s="41"/>
      <c r="M66" s="41"/>
      <c r="N66" s="41"/>
      <c r="O66" s="41"/>
      <c r="P66" s="41"/>
      <c r="Q66" s="41"/>
      <c r="R66" s="41"/>
      <c r="S66" s="41"/>
      <c r="T66" s="41"/>
      <c r="U66" s="41"/>
      <c r="V66" s="41"/>
      <c r="W66" s="5"/>
      <c r="X66" s="5"/>
      <c r="Y66" s="5"/>
      <c r="Z66" s="5"/>
    </row>
    <row r="67" ht="12.75" customHeight="1">
      <c r="A67" s="41"/>
      <c r="B67" s="41"/>
      <c r="C67" s="41"/>
      <c r="D67" s="41"/>
      <c r="E67" s="41"/>
      <c r="F67" s="41"/>
      <c r="G67" s="41"/>
      <c r="H67" s="41"/>
      <c r="I67" s="41"/>
      <c r="J67" s="41"/>
      <c r="K67" s="41"/>
      <c r="L67" s="41"/>
      <c r="M67" s="41"/>
      <c r="N67" s="41"/>
      <c r="O67" s="41"/>
      <c r="P67" s="41"/>
      <c r="Q67" s="41"/>
      <c r="R67" s="41"/>
      <c r="S67" s="41"/>
      <c r="T67" s="41"/>
      <c r="U67" s="41"/>
      <c r="V67" s="41"/>
      <c r="W67" s="5"/>
      <c r="X67" s="5"/>
      <c r="Y67" s="5"/>
      <c r="Z67" s="5"/>
    </row>
    <row r="68" ht="12.75" customHeight="1">
      <c r="A68" s="41"/>
      <c r="B68" s="41"/>
      <c r="C68" s="41"/>
      <c r="D68" s="41"/>
      <c r="E68" s="41"/>
      <c r="F68" s="41"/>
      <c r="G68" s="41"/>
      <c r="H68" s="41"/>
      <c r="I68" s="41"/>
      <c r="J68" s="41"/>
      <c r="K68" s="41"/>
      <c r="L68" s="41"/>
      <c r="M68" s="41"/>
      <c r="N68" s="41"/>
      <c r="O68" s="41"/>
      <c r="P68" s="41"/>
      <c r="Q68" s="41"/>
      <c r="R68" s="41"/>
      <c r="S68" s="41"/>
      <c r="T68" s="41"/>
      <c r="U68" s="41"/>
      <c r="V68" s="41"/>
      <c r="W68" s="5"/>
      <c r="X68" s="5"/>
      <c r="Y68" s="5"/>
      <c r="Z68" s="5"/>
    </row>
    <row r="69" ht="12.75" customHeight="1">
      <c r="A69" s="41"/>
      <c r="B69" s="41"/>
      <c r="C69" s="41"/>
      <c r="D69" s="41"/>
      <c r="E69" s="41"/>
      <c r="F69" s="41"/>
      <c r="G69" s="41"/>
      <c r="H69" s="41"/>
      <c r="I69" s="41"/>
      <c r="J69" s="41"/>
      <c r="K69" s="41"/>
      <c r="L69" s="41"/>
      <c r="M69" s="41"/>
      <c r="N69" s="41"/>
      <c r="O69" s="41"/>
      <c r="P69" s="41"/>
      <c r="Q69" s="41"/>
      <c r="R69" s="41"/>
      <c r="S69" s="41"/>
      <c r="T69" s="41"/>
      <c r="U69" s="41"/>
      <c r="V69" s="41"/>
      <c r="W69" s="5"/>
      <c r="X69" s="5"/>
      <c r="Y69" s="5"/>
      <c r="Z69" s="5"/>
    </row>
    <row r="70" ht="12.75" customHeight="1">
      <c r="A70" s="41"/>
      <c r="B70" s="41"/>
      <c r="C70" s="41"/>
      <c r="D70" s="41"/>
      <c r="E70" s="41"/>
      <c r="F70" s="41"/>
      <c r="G70" s="41"/>
      <c r="H70" s="41"/>
      <c r="I70" s="41"/>
      <c r="J70" s="41"/>
      <c r="K70" s="41"/>
      <c r="L70" s="41"/>
      <c r="M70" s="41"/>
      <c r="N70" s="41"/>
      <c r="O70" s="41"/>
      <c r="P70" s="41"/>
      <c r="Q70" s="41"/>
      <c r="R70" s="41"/>
      <c r="S70" s="41"/>
      <c r="T70" s="41"/>
      <c r="U70" s="41"/>
      <c r="V70" s="41"/>
      <c r="W70" s="5"/>
      <c r="X70" s="5"/>
      <c r="Y70" s="5"/>
      <c r="Z70" s="5"/>
    </row>
    <row r="71" ht="12.75" customHeight="1">
      <c r="A71" s="41"/>
      <c r="B71" s="41"/>
      <c r="C71" s="41"/>
      <c r="D71" s="41"/>
      <c r="E71" s="41"/>
      <c r="F71" s="41"/>
      <c r="G71" s="41"/>
      <c r="H71" s="41"/>
      <c r="I71" s="41"/>
      <c r="J71" s="41"/>
      <c r="K71" s="41"/>
      <c r="L71" s="41"/>
      <c r="M71" s="41"/>
      <c r="N71" s="41"/>
      <c r="O71" s="41"/>
      <c r="P71" s="41"/>
      <c r="Q71" s="41"/>
      <c r="R71" s="41"/>
      <c r="S71" s="41"/>
      <c r="T71" s="41"/>
      <c r="U71" s="41"/>
      <c r="V71" s="41"/>
      <c r="W71" s="5"/>
      <c r="X71" s="5"/>
      <c r="Y71" s="5"/>
      <c r="Z71" s="5"/>
    </row>
    <row r="72" ht="12.75" customHeight="1">
      <c r="A72" s="41"/>
      <c r="B72" s="41"/>
      <c r="C72" s="41"/>
      <c r="D72" s="41"/>
      <c r="E72" s="41"/>
      <c r="F72" s="41"/>
      <c r="G72" s="41"/>
      <c r="H72" s="41"/>
      <c r="I72" s="41"/>
      <c r="J72" s="41"/>
      <c r="K72" s="41"/>
      <c r="L72" s="41"/>
      <c r="M72" s="41"/>
      <c r="N72" s="41"/>
      <c r="O72" s="41"/>
      <c r="P72" s="41"/>
      <c r="Q72" s="41"/>
      <c r="R72" s="41"/>
      <c r="S72" s="41"/>
      <c r="T72" s="41"/>
      <c r="U72" s="41"/>
      <c r="V72" s="41"/>
      <c r="W72" s="5"/>
      <c r="X72" s="5"/>
      <c r="Y72" s="5"/>
      <c r="Z72" s="5"/>
    </row>
    <row r="73" ht="12.75" customHeight="1">
      <c r="A73" s="41"/>
      <c r="B73" s="41"/>
      <c r="C73" s="41"/>
      <c r="D73" s="41"/>
      <c r="E73" s="41"/>
      <c r="F73" s="41"/>
      <c r="G73" s="41"/>
      <c r="H73" s="41"/>
      <c r="I73" s="41"/>
      <c r="J73" s="41"/>
      <c r="K73" s="41"/>
      <c r="L73" s="41"/>
      <c r="M73" s="41"/>
      <c r="N73" s="41"/>
      <c r="O73" s="41"/>
      <c r="P73" s="41"/>
      <c r="Q73" s="41"/>
      <c r="R73" s="41"/>
      <c r="S73" s="41"/>
      <c r="T73" s="41"/>
      <c r="U73" s="41"/>
      <c r="V73" s="41"/>
      <c r="W73" s="5"/>
      <c r="X73" s="5"/>
      <c r="Y73" s="5"/>
      <c r="Z73" s="5"/>
    </row>
    <row r="74" ht="12.75" customHeight="1">
      <c r="A74" s="41"/>
      <c r="B74" s="41"/>
      <c r="C74" s="41"/>
      <c r="D74" s="41"/>
      <c r="E74" s="41"/>
      <c r="F74" s="41"/>
      <c r="G74" s="41"/>
      <c r="H74" s="41"/>
      <c r="I74" s="41"/>
      <c r="J74" s="41"/>
      <c r="K74" s="41"/>
      <c r="L74" s="41"/>
      <c r="M74" s="41"/>
      <c r="N74" s="41"/>
      <c r="O74" s="41"/>
      <c r="P74" s="41"/>
      <c r="Q74" s="41"/>
      <c r="R74" s="41"/>
      <c r="S74" s="41"/>
      <c r="T74" s="41"/>
      <c r="U74" s="41"/>
      <c r="V74" s="41"/>
      <c r="W74" s="5"/>
      <c r="X74" s="5"/>
      <c r="Y74" s="5"/>
      <c r="Z74" s="5"/>
    </row>
    <row r="75" ht="12.75" customHeight="1">
      <c r="A75" s="41"/>
      <c r="B75" s="41"/>
      <c r="C75" s="41"/>
      <c r="D75" s="41"/>
      <c r="E75" s="41"/>
      <c r="F75" s="41"/>
      <c r="G75" s="41"/>
      <c r="H75" s="41"/>
      <c r="I75" s="41"/>
      <c r="J75" s="41"/>
      <c r="K75" s="41"/>
      <c r="L75" s="41"/>
      <c r="M75" s="41"/>
      <c r="N75" s="41"/>
      <c r="O75" s="41"/>
      <c r="P75" s="41"/>
      <c r="Q75" s="41"/>
      <c r="R75" s="41"/>
      <c r="S75" s="41"/>
      <c r="T75" s="41"/>
      <c r="U75" s="41"/>
      <c r="V75" s="41"/>
      <c r="W75" s="5"/>
      <c r="X75" s="5"/>
      <c r="Y75" s="5"/>
      <c r="Z75" s="5"/>
    </row>
    <row r="76" ht="12.75" customHeight="1">
      <c r="A76" s="41"/>
      <c r="B76" s="41"/>
      <c r="C76" s="41"/>
      <c r="D76" s="41"/>
      <c r="E76" s="41"/>
      <c r="F76" s="41"/>
      <c r="G76" s="41"/>
      <c r="H76" s="41"/>
      <c r="I76" s="41"/>
      <c r="J76" s="41"/>
      <c r="K76" s="41"/>
      <c r="L76" s="41"/>
      <c r="M76" s="41"/>
      <c r="N76" s="41"/>
      <c r="O76" s="41"/>
      <c r="P76" s="41"/>
      <c r="Q76" s="41"/>
      <c r="R76" s="41"/>
      <c r="S76" s="41"/>
      <c r="T76" s="41"/>
      <c r="U76" s="41"/>
      <c r="V76" s="41"/>
      <c r="W76" s="5"/>
      <c r="X76" s="5"/>
      <c r="Y76" s="5"/>
      <c r="Z76" s="5"/>
    </row>
    <row r="77" ht="12.75" customHeight="1">
      <c r="A77" s="41"/>
      <c r="B77" s="41"/>
      <c r="C77" s="41"/>
      <c r="D77" s="41"/>
      <c r="E77" s="41"/>
      <c r="F77" s="41"/>
      <c r="G77" s="41"/>
      <c r="H77" s="41"/>
      <c r="I77" s="41"/>
      <c r="J77" s="41"/>
      <c r="K77" s="41"/>
      <c r="L77" s="41"/>
      <c r="M77" s="41"/>
      <c r="N77" s="41"/>
      <c r="O77" s="41"/>
      <c r="P77" s="41"/>
      <c r="Q77" s="41"/>
      <c r="R77" s="41"/>
      <c r="S77" s="41"/>
      <c r="T77" s="41"/>
      <c r="U77" s="41"/>
      <c r="V77" s="41"/>
      <c r="W77" s="5"/>
      <c r="X77" s="5"/>
      <c r="Y77" s="5"/>
      <c r="Z77" s="5"/>
    </row>
    <row r="78" ht="12.75" customHeight="1">
      <c r="A78" s="41"/>
      <c r="B78" s="41"/>
      <c r="C78" s="41"/>
      <c r="D78" s="41"/>
      <c r="E78" s="41"/>
      <c r="F78" s="41"/>
      <c r="G78" s="41"/>
      <c r="H78" s="41"/>
      <c r="I78" s="41"/>
      <c r="J78" s="41"/>
      <c r="K78" s="41"/>
      <c r="L78" s="41"/>
      <c r="M78" s="41"/>
      <c r="N78" s="41"/>
      <c r="O78" s="41"/>
      <c r="P78" s="41"/>
      <c r="Q78" s="41"/>
      <c r="R78" s="41"/>
      <c r="S78" s="41"/>
      <c r="T78" s="41"/>
      <c r="U78" s="41"/>
      <c r="V78" s="41"/>
      <c r="W78" s="5"/>
      <c r="X78" s="5"/>
      <c r="Y78" s="5"/>
      <c r="Z78" s="5"/>
    </row>
    <row r="79" ht="12.75" customHeight="1">
      <c r="A79" s="41"/>
      <c r="B79" s="41"/>
      <c r="C79" s="41"/>
      <c r="D79" s="41"/>
      <c r="E79" s="41"/>
      <c r="F79" s="41"/>
      <c r="G79" s="41"/>
      <c r="H79" s="41"/>
      <c r="I79" s="41"/>
      <c r="J79" s="41"/>
      <c r="K79" s="41"/>
      <c r="L79" s="41"/>
      <c r="M79" s="41"/>
      <c r="N79" s="41"/>
      <c r="O79" s="41"/>
      <c r="P79" s="41"/>
      <c r="Q79" s="41"/>
      <c r="R79" s="41"/>
      <c r="S79" s="41"/>
      <c r="T79" s="41"/>
      <c r="U79" s="41"/>
      <c r="V79" s="41"/>
      <c r="W79" s="5"/>
      <c r="X79" s="5"/>
      <c r="Y79" s="5"/>
      <c r="Z79" s="5"/>
    </row>
    <row r="80" ht="12.75" customHeight="1">
      <c r="A80" s="41"/>
      <c r="B80" s="41"/>
      <c r="C80" s="41"/>
      <c r="D80" s="41"/>
      <c r="E80" s="41"/>
      <c r="F80" s="41"/>
      <c r="G80" s="41"/>
      <c r="H80" s="41"/>
      <c r="I80" s="41"/>
      <c r="J80" s="41"/>
      <c r="K80" s="41"/>
      <c r="L80" s="41"/>
      <c r="M80" s="41"/>
      <c r="N80" s="41"/>
      <c r="O80" s="41"/>
      <c r="P80" s="41"/>
      <c r="Q80" s="41"/>
      <c r="R80" s="41"/>
      <c r="S80" s="41"/>
      <c r="T80" s="41"/>
      <c r="U80" s="41"/>
      <c r="V80" s="41"/>
      <c r="W80" s="5"/>
      <c r="X80" s="5"/>
      <c r="Y80" s="5"/>
      <c r="Z80" s="5"/>
    </row>
    <row r="81" ht="12.75" customHeight="1">
      <c r="A81" s="41"/>
      <c r="B81" s="41"/>
      <c r="C81" s="41"/>
      <c r="D81" s="41"/>
      <c r="E81" s="41"/>
      <c r="F81" s="41"/>
      <c r="G81" s="41"/>
      <c r="H81" s="41"/>
      <c r="I81" s="41"/>
      <c r="J81" s="41"/>
      <c r="K81" s="41"/>
      <c r="L81" s="41"/>
      <c r="M81" s="41"/>
      <c r="N81" s="41"/>
      <c r="O81" s="41"/>
      <c r="P81" s="41"/>
      <c r="Q81" s="41"/>
      <c r="R81" s="41"/>
      <c r="S81" s="41"/>
      <c r="T81" s="41"/>
      <c r="U81" s="41"/>
      <c r="V81" s="41"/>
      <c r="W81" s="5"/>
      <c r="X81" s="5"/>
      <c r="Y81" s="5"/>
      <c r="Z81" s="5"/>
    </row>
    <row r="82" ht="12.75" customHeight="1">
      <c r="A82" s="41"/>
      <c r="B82" s="41"/>
      <c r="C82" s="41"/>
      <c r="D82" s="41"/>
      <c r="E82" s="41"/>
      <c r="F82" s="41"/>
      <c r="G82" s="41"/>
      <c r="H82" s="41"/>
      <c r="I82" s="41"/>
      <c r="J82" s="41"/>
      <c r="K82" s="41"/>
      <c r="L82" s="41"/>
      <c r="M82" s="41"/>
      <c r="N82" s="41"/>
      <c r="O82" s="41"/>
      <c r="P82" s="41"/>
      <c r="Q82" s="41"/>
      <c r="R82" s="41"/>
      <c r="S82" s="41"/>
      <c r="T82" s="41"/>
      <c r="U82" s="41"/>
      <c r="V82" s="41"/>
      <c r="W82" s="5"/>
      <c r="X82" s="5"/>
      <c r="Y82" s="5"/>
      <c r="Z82" s="5"/>
    </row>
    <row r="83" ht="12.75" customHeight="1">
      <c r="A83" s="41"/>
      <c r="B83" s="41"/>
      <c r="C83" s="41"/>
      <c r="D83" s="41"/>
      <c r="E83" s="41"/>
      <c r="F83" s="41"/>
      <c r="G83" s="41"/>
      <c r="H83" s="41"/>
      <c r="I83" s="41"/>
      <c r="J83" s="41"/>
      <c r="K83" s="41"/>
      <c r="L83" s="41"/>
      <c r="M83" s="41"/>
      <c r="N83" s="41"/>
      <c r="O83" s="41"/>
      <c r="P83" s="41"/>
      <c r="Q83" s="41"/>
      <c r="R83" s="41"/>
      <c r="S83" s="41"/>
      <c r="T83" s="41"/>
      <c r="U83" s="41"/>
      <c r="V83" s="41"/>
      <c r="W83" s="5"/>
      <c r="X83" s="5"/>
      <c r="Y83" s="5"/>
      <c r="Z83" s="5"/>
    </row>
    <row r="84" ht="12.75" customHeight="1">
      <c r="A84" s="41"/>
      <c r="B84" s="41"/>
      <c r="C84" s="41"/>
      <c r="D84" s="41"/>
      <c r="E84" s="41"/>
      <c r="F84" s="41"/>
      <c r="G84" s="41"/>
      <c r="H84" s="41"/>
      <c r="I84" s="41"/>
      <c r="J84" s="41"/>
      <c r="K84" s="41"/>
      <c r="L84" s="41"/>
      <c r="M84" s="41"/>
      <c r="N84" s="41"/>
      <c r="O84" s="41"/>
      <c r="P84" s="41"/>
      <c r="Q84" s="41"/>
      <c r="R84" s="41"/>
      <c r="S84" s="41"/>
      <c r="T84" s="41"/>
      <c r="U84" s="41"/>
      <c r="V84" s="41"/>
      <c r="W84" s="5"/>
      <c r="X84" s="5"/>
      <c r="Y84" s="5"/>
      <c r="Z84" s="5"/>
    </row>
    <row r="85" ht="12.75" customHeight="1">
      <c r="A85" s="41"/>
      <c r="B85" s="41"/>
      <c r="C85" s="41"/>
      <c r="D85" s="41"/>
      <c r="E85" s="41"/>
      <c r="F85" s="41"/>
      <c r="G85" s="41"/>
      <c r="H85" s="41"/>
      <c r="I85" s="41"/>
      <c r="J85" s="41"/>
      <c r="K85" s="41"/>
      <c r="L85" s="41"/>
      <c r="M85" s="41"/>
      <c r="N85" s="41"/>
      <c r="O85" s="41"/>
      <c r="P85" s="41"/>
      <c r="Q85" s="41"/>
      <c r="R85" s="41"/>
      <c r="S85" s="41"/>
      <c r="T85" s="41"/>
      <c r="U85" s="41"/>
      <c r="V85" s="41"/>
      <c r="W85" s="5"/>
      <c r="X85" s="5"/>
      <c r="Y85" s="5"/>
      <c r="Z85" s="5"/>
    </row>
    <row r="86" ht="12.75" customHeight="1">
      <c r="A86" s="41"/>
      <c r="B86" s="41"/>
      <c r="C86" s="41"/>
      <c r="D86" s="41"/>
      <c r="E86" s="41"/>
      <c r="F86" s="41"/>
      <c r="G86" s="41"/>
      <c r="H86" s="41"/>
      <c r="I86" s="41"/>
      <c r="J86" s="41"/>
      <c r="K86" s="41"/>
      <c r="L86" s="41"/>
      <c r="M86" s="41"/>
      <c r="N86" s="41"/>
      <c r="O86" s="41"/>
      <c r="P86" s="41"/>
      <c r="Q86" s="41"/>
      <c r="R86" s="41"/>
      <c r="S86" s="41"/>
      <c r="T86" s="41"/>
      <c r="U86" s="41"/>
      <c r="V86" s="41"/>
      <c r="W86" s="5"/>
      <c r="X86" s="5"/>
      <c r="Y86" s="5"/>
      <c r="Z86" s="5"/>
    </row>
    <row r="87" ht="12.75" customHeight="1">
      <c r="A87" s="41"/>
      <c r="B87" s="41"/>
      <c r="C87" s="41"/>
      <c r="D87" s="41"/>
      <c r="E87" s="41"/>
      <c r="F87" s="41"/>
      <c r="G87" s="41"/>
      <c r="H87" s="41"/>
      <c r="I87" s="41"/>
      <c r="J87" s="41"/>
      <c r="K87" s="41"/>
      <c r="L87" s="41"/>
      <c r="M87" s="41"/>
      <c r="N87" s="41"/>
      <c r="O87" s="41"/>
      <c r="P87" s="41"/>
      <c r="Q87" s="41"/>
      <c r="R87" s="41"/>
      <c r="S87" s="41"/>
      <c r="T87" s="41"/>
      <c r="U87" s="41"/>
      <c r="V87" s="41"/>
      <c r="W87" s="5"/>
      <c r="X87" s="5"/>
      <c r="Y87" s="5"/>
      <c r="Z87" s="5"/>
    </row>
    <row r="88" ht="12.75" customHeight="1">
      <c r="A88" s="41"/>
      <c r="B88" s="41"/>
      <c r="C88" s="41"/>
      <c r="D88" s="41"/>
      <c r="E88" s="41"/>
      <c r="F88" s="41"/>
      <c r="G88" s="41"/>
      <c r="H88" s="41"/>
      <c r="I88" s="41"/>
      <c r="J88" s="41"/>
      <c r="K88" s="41"/>
      <c r="L88" s="41"/>
      <c r="M88" s="41"/>
      <c r="N88" s="41"/>
      <c r="O88" s="41"/>
      <c r="P88" s="41"/>
      <c r="Q88" s="41"/>
      <c r="R88" s="41"/>
      <c r="S88" s="41"/>
      <c r="T88" s="41"/>
      <c r="U88" s="41"/>
      <c r="V88" s="41"/>
      <c r="W88" s="5"/>
      <c r="X88" s="5"/>
      <c r="Y88" s="5"/>
      <c r="Z88" s="5"/>
    </row>
    <row r="89" ht="12.75" customHeight="1">
      <c r="A89" s="41"/>
      <c r="B89" s="41"/>
      <c r="C89" s="41"/>
      <c r="D89" s="41"/>
      <c r="E89" s="41"/>
      <c r="F89" s="41"/>
      <c r="G89" s="41"/>
      <c r="H89" s="41"/>
      <c r="I89" s="41"/>
      <c r="J89" s="41"/>
      <c r="K89" s="41"/>
      <c r="L89" s="41"/>
      <c r="M89" s="41"/>
      <c r="N89" s="41"/>
      <c r="O89" s="41"/>
      <c r="P89" s="41"/>
      <c r="Q89" s="41"/>
      <c r="R89" s="41"/>
      <c r="S89" s="41"/>
      <c r="T89" s="41"/>
      <c r="U89" s="41"/>
      <c r="V89" s="41"/>
      <c r="W89" s="5"/>
      <c r="X89" s="5"/>
      <c r="Y89" s="5"/>
      <c r="Z89" s="5"/>
    </row>
    <row r="90" ht="12.75" customHeight="1">
      <c r="A90" s="41"/>
      <c r="B90" s="41"/>
      <c r="C90" s="41"/>
      <c r="D90" s="41"/>
      <c r="E90" s="41"/>
      <c r="F90" s="41"/>
      <c r="G90" s="41"/>
      <c r="H90" s="41"/>
      <c r="I90" s="41"/>
      <c r="J90" s="41"/>
      <c r="K90" s="41"/>
      <c r="L90" s="41"/>
      <c r="M90" s="41"/>
      <c r="N90" s="41"/>
      <c r="O90" s="41"/>
      <c r="P90" s="41"/>
      <c r="Q90" s="41"/>
      <c r="R90" s="41"/>
      <c r="S90" s="41"/>
      <c r="T90" s="41"/>
      <c r="U90" s="41"/>
      <c r="V90" s="41"/>
      <c r="W90" s="5"/>
      <c r="X90" s="5"/>
      <c r="Y90" s="5"/>
      <c r="Z90" s="5"/>
    </row>
    <row r="91" ht="12.75" customHeight="1">
      <c r="A91" s="41"/>
      <c r="B91" s="41"/>
      <c r="C91" s="41"/>
      <c r="D91" s="41"/>
      <c r="E91" s="41"/>
      <c r="F91" s="41"/>
      <c r="G91" s="41"/>
      <c r="H91" s="41"/>
      <c r="I91" s="41"/>
      <c r="J91" s="41"/>
      <c r="K91" s="41"/>
      <c r="L91" s="41"/>
      <c r="M91" s="41"/>
      <c r="N91" s="41"/>
      <c r="O91" s="41"/>
      <c r="P91" s="41"/>
      <c r="Q91" s="41"/>
      <c r="R91" s="41"/>
      <c r="S91" s="41"/>
      <c r="T91" s="41"/>
      <c r="U91" s="41"/>
      <c r="V91" s="41"/>
      <c r="W91" s="5"/>
      <c r="X91" s="5"/>
      <c r="Y91" s="5"/>
      <c r="Z91" s="5"/>
    </row>
    <row r="92" ht="12.75" customHeight="1">
      <c r="A92" s="41"/>
      <c r="B92" s="41"/>
      <c r="C92" s="41"/>
      <c r="D92" s="41"/>
      <c r="E92" s="41"/>
      <c r="F92" s="41"/>
      <c r="G92" s="41"/>
      <c r="H92" s="41"/>
      <c r="I92" s="41"/>
      <c r="J92" s="41"/>
      <c r="K92" s="41"/>
      <c r="L92" s="41"/>
      <c r="M92" s="41"/>
      <c r="N92" s="41"/>
      <c r="O92" s="41"/>
      <c r="P92" s="41"/>
      <c r="Q92" s="41"/>
      <c r="R92" s="41"/>
      <c r="S92" s="41"/>
      <c r="T92" s="41"/>
      <c r="U92" s="41"/>
      <c r="V92" s="41"/>
      <c r="W92" s="5"/>
      <c r="X92" s="5"/>
      <c r="Y92" s="5"/>
      <c r="Z92" s="5"/>
    </row>
    <row r="93" ht="12.75" customHeight="1">
      <c r="A93" s="41"/>
      <c r="B93" s="41"/>
      <c r="C93" s="41"/>
      <c r="D93" s="41"/>
      <c r="E93" s="41"/>
      <c r="F93" s="41"/>
      <c r="G93" s="41"/>
      <c r="H93" s="41"/>
      <c r="I93" s="41"/>
      <c r="J93" s="41"/>
      <c r="K93" s="41"/>
      <c r="L93" s="41"/>
      <c r="M93" s="41"/>
      <c r="N93" s="41"/>
      <c r="O93" s="41"/>
      <c r="P93" s="41"/>
      <c r="Q93" s="41"/>
      <c r="R93" s="41"/>
      <c r="S93" s="41"/>
      <c r="T93" s="41"/>
      <c r="U93" s="41"/>
      <c r="V93" s="41"/>
      <c r="W93" s="5"/>
      <c r="X93" s="5"/>
      <c r="Y93" s="5"/>
      <c r="Z93" s="5"/>
    </row>
    <row r="94" ht="12.75" customHeight="1">
      <c r="A94" s="41"/>
      <c r="B94" s="41"/>
      <c r="C94" s="41"/>
      <c r="D94" s="41"/>
      <c r="E94" s="41"/>
      <c r="F94" s="41"/>
      <c r="G94" s="41"/>
      <c r="H94" s="41"/>
      <c r="I94" s="41"/>
      <c r="J94" s="41"/>
      <c r="K94" s="41"/>
      <c r="L94" s="41"/>
      <c r="M94" s="41"/>
      <c r="N94" s="41"/>
      <c r="O94" s="41"/>
      <c r="P94" s="41"/>
      <c r="Q94" s="41"/>
      <c r="R94" s="41"/>
      <c r="S94" s="41"/>
      <c r="T94" s="41"/>
      <c r="U94" s="41"/>
      <c r="V94" s="41"/>
      <c r="W94" s="5"/>
      <c r="X94" s="5"/>
      <c r="Y94" s="5"/>
      <c r="Z94" s="5"/>
    </row>
    <row r="95" ht="12.75" customHeight="1">
      <c r="A95" s="41"/>
      <c r="B95" s="41"/>
      <c r="C95" s="41"/>
      <c r="D95" s="41"/>
      <c r="E95" s="41"/>
      <c r="F95" s="41"/>
      <c r="G95" s="41"/>
      <c r="H95" s="41"/>
      <c r="I95" s="41"/>
      <c r="J95" s="41"/>
      <c r="K95" s="41"/>
      <c r="L95" s="41"/>
      <c r="M95" s="41"/>
      <c r="N95" s="41"/>
      <c r="O95" s="41"/>
      <c r="P95" s="41"/>
      <c r="Q95" s="41"/>
      <c r="R95" s="41"/>
      <c r="S95" s="41"/>
      <c r="T95" s="41"/>
      <c r="U95" s="41"/>
      <c r="V95" s="41"/>
      <c r="W95" s="5"/>
      <c r="X95" s="5"/>
      <c r="Y95" s="5"/>
      <c r="Z95" s="5"/>
    </row>
    <row r="96" ht="12.75" customHeight="1">
      <c r="A96" s="41"/>
      <c r="B96" s="41"/>
      <c r="C96" s="41"/>
      <c r="D96" s="41"/>
      <c r="E96" s="41"/>
      <c r="F96" s="41"/>
      <c r="G96" s="41"/>
      <c r="H96" s="41"/>
      <c r="I96" s="41"/>
      <c r="J96" s="41"/>
      <c r="K96" s="41"/>
      <c r="L96" s="41"/>
      <c r="M96" s="41"/>
      <c r="N96" s="41"/>
      <c r="O96" s="41"/>
      <c r="P96" s="41"/>
      <c r="Q96" s="41"/>
      <c r="R96" s="41"/>
      <c r="S96" s="41"/>
      <c r="T96" s="41"/>
      <c r="U96" s="41"/>
      <c r="V96" s="41"/>
      <c r="W96" s="5"/>
      <c r="X96" s="5"/>
      <c r="Y96" s="5"/>
      <c r="Z96" s="5"/>
    </row>
    <row r="97" ht="12.75" customHeight="1">
      <c r="A97" s="41"/>
      <c r="B97" s="41"/>
      <c r="C97" s="41"/>
      <c r="D97" s="41"/>
      <c r="E97" s="41"/>
      <c r="F97" s="41"/>
      <c r="G97" s="41"/>
      <c r="H97" s="41"/>
      <c r="I97" s="41"/>
      <c r="J97" s="41"/>
      <c r="K97" s="41"/>
      <c r="L97" s="41"/>
      <c r="M97" s="41"/>
      <c r="N97" s="41"/>
      <c r="O97" s="41"/>
      <c r="P97" s="41"/>
      <c r="Q97" s="41"/>
      <c r="R97" s="41"/>
      <c r="S97" s="41"/>
      <c r="T97" s="41"/>
      <c r="U97" s="41"/>
      <c r="V97" s="41"/>
      <c r="W97" s="5"/>
      <c r="X97" s="5"/>
      <c r="Y97" s="5"/>
      <c r="Z97" s="5"/>
    </row>
    <row r="98" ht="12.75" customHeight="1">
      <c r="A98" s="41"/>
      <c r="B98" s="41"/>
      <c r="C98" s="41"/>
      <c r="D98" s="41"/>
      <c r="E98" s="41"/>
      <c r="F98" s="41"/>
      <c r="G98" s="41"/>
      <c r="H98" s="41"/>
      <c r="I98" s="41"/>
      <c r="J98" s="41"/>
      <c r="K98" s="41"/>
      <c r="L98" s="41"/>
      <c r="M98" s="41"/>
      <c r="N98" s="41"/>
      <c r="O98" s="41"/>
      <c r="P98" s="41"/>
      <c r="Q98" s="41"/>
      <c r="R98" s="41"/>
      <c r="S98" s="41"/>
      <c r="T98" s="41"/>
      <c r="U98" s="41"/>
      <c r="V98" s="41"/>
      <c r="W98" s="5"/>
      <c r="X98" s="5"/>
      <c r="Y98" s="5"/>
      <c r="Z98" s="5"/>
    </row>
    <row r="99" ht="12.75" customHeight="1">
      <c r="A99" s="41"/>
      <c r="B99" s="41"/>
      <c r="C99" s="41"/>
      <c r="D99" s="41"/>
      <c r="E99" s="41"/>
      <c r="F99" s="41"/>
      <c r="G99" s="41"/>
      <c r="H99" s="41"/>
      <c r="I99" s="41"/>
      <c r="J99" s="41"/>
      <c r="K99" s="41"/>
      <c r="L99" s="41"/>
      <c r="M99" s="41"/>
      <c r="N99" s="41"/>
      <c r="O99" s="41"/>
      <c r="P99" s="41"/>
      <c r="Q99" s="41"/>
      <c r="R99" s="41"/>
      <c r="S99" s="41"/>
      <c r="T99" s="41"/>
      <c r="U99" s="41"/>
      <c r="V99" s="41"/>
      <c r="W99" s="5"/>
      <c r="X99" s="5"/>
      <c r="Y99" s="5"/>
      <c r="Z99" s="5"/>
    </row>
    <row r="100" ht="12.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5"/>
      <c r="X100" s="5"/>
      <c r="Y100" s="5"/>
      <c r="Z100" s="5"/>
    </row>
    <row r="101"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5"/>
      <c r="X101" s="5"/>
      <c r="Y101" s="5"/>
      <c r="Z101" s="5"/>
    </row>
    <row r="102"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5"/>
      <c r="X102" s="5"/>
      <c r="Y102" s="5"/>
      <c r="Z102" s="5"/>
    </row>
    <row r="103"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5"/>
      <c r="X103" s="5"/>
      <c r="Y103" s="5"/>
      <c r="Z103" s="5"/>
    </row>
    <row r="104"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5"/>
      <c r="X104" s="5"/>
      <c r="Y104" s="5"/>
      <c r="Z104" s="5"/>
    </row>
    <row r="105"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5"/>
      <c r="X105" s="5"/>
      <c r="Y105" s="5"/>
      <c r="Z105" s="5"/>
    </row>
    <row r="10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5"/>
      <c r="X106" s="5"/>
      <c r="Y106" s="5"/>
      <c r="Z106" s="5"/>
    </row>
    <row r="107"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5"/>
      <c r="X107" s="5"/>
      <c r="Y107" s="5"/>
      <c r="Z107" s="5"/>
    </row>
    <row r="108"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5"/>
      <c r="X108" s="5"/>
      <c r="Y108" s="5"/>
      <c r="Z108" s="5"/>
    </row>
    <row r="109"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5"/>
      <c r="X109" s="5"/>
      <c r="Y109" s="5"/>
      <c r="Z109" s="5"/>
    </row>
    <row r="110"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5"/>
      <c r="X110" s="5"/>
      <c r="Y110" s="5"/>
      <c r="Z110" s="5"/>
    </row>
    <row r="111"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5"/>
      <c r="X111" s="5"/>
      <c r="Y111" s="5"/>
      <c r="Z111" s="5"/>
    </row>
    <row r="112"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5"/>
      <c r="X112" s="5"/>
      <c r="Y112" s="5"/>
      <c r="Z112" s="5"/>
    </row>
    <row r="113"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5"/>
      <c r="X113" s="5"/>
      <c r="Y113" s="5"/>
      <c r="Z113" s="5"/>
    </row>
    <row r="114"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5"/>
      <c r="X114" s="5"/>
      <c r="Y114" s="5"/>
      <c r="Z114" s="5"/>
    </row>
    <row r="115"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5"/>
      <c r="X115" s="5"/>
      <c r="Y115" s="5"/>
      <c r="Z115" s="5"/>
    </row>
    <row r="11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5"/>
      <c r="X116" s="5"/>
      <c r="Y116" s="5"/>
      <c r="Z116" s="5"/>
    </row>
    <row r="117"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5"/>
      <c r="X117" s="5"/>
      <c r="Y117" s="5"/>
      <c r="Z117" s="5"/>
    </row>
    <row r="118"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5"/>
      <c r="X118" s="5"/>
      <c r="Y118" s="5"/>
      <c r="Z118" s="5"/>
    </row>
    <row r="119"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5"/>
      <c r="X119" s="5"/>
      <c r="Y119" s="5"/>
      <c r="Z119" s="5"/>
    </row>
    <row r="120"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5"/>
      <c r="X120" s="5"/>
      <c r="Y120" s="5"/>
      <c r="Z120" s="5"/>
    </row>
    <row r="121"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5"/>
      <c r="X121" s="5"/>
      <c r="Y121" s="5"/>
      <c r="Z121" s="5"/>
    </row>
    <row r="122"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5"/>
      <c r="X122" s="5"/>
      <c r="Y122" s="5"/>
      <c r="Z122" s="5"/>
    </row>
    <row r="123"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5"/>
      <c r="X123" s="5"/>
      <c r="Y123" s="5"/>
      <c r="Z123" s="5"/>
    </row>
    <row r="124"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5"/>
      <c r="X124" s="5"/>
      <c r="Y124" s="5"/>
      <c r="Z124" s="5"/>
    </row>
    <row r="125"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5"/>
      <c r="X125" s="5"/>
      <c r="Y125" s="5"/>
      <c r="Z125" s="5"/>
    </row>
    <row r="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5"/>
      <c r="X126" s="5"/>
      <c r="Y126" s="5"/>
      <c r="Z126" s="5"/>
    </row>
    <row r="127"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5"/>
      <c r="X127" s="5"/>
      <c r="Y127" s="5"/>
      <c r="Z127" s="5"/>
    </row>
    <row r="128"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5"/>
      <c r="X128" s="5"/>
      <c r="Y128" s="5"/>
      <c r="Z128" s="5"/>
    </row>
    <row r="129"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5"/>
      <c r="X129" s="5"/>
      <c r="Y129" s="5"/>
      <c r="Z129" s="5"/>
    </row>
    <row r="130"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5"/>
      <c r="X130" s="5"/>
      <c r="Y130" s="5"/>
      <c r="Z130" s="5"/>
    </row>
    <row r="131"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5"/>
      <c r="X131" s="5"/>
      <c r="Y131" s="5"/>
      <c r="Z131" s="5"/>
    </row>
    <row r="132"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5"/>
      <c r="X132" s="5"/>
      <c r="Y132" s="5"/>
      <c r="Z132" s="5"/>
    </row>
    <row r="133"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5"/>
      <c r="X133" s="5"/>
      <c r="Y133" s="5"/>
      <c r="Z133" s="5"/>
    </row>
    <row r="134"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5"/>
      <c r="X134" s="5"/>
      <c r="Y134" s="5"/>
      <c r="Z134" s="5"/>
    </row>
    <row r="135"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5"/>
      <c r="X135" s="5"/>
      <c r="Y135" s="5"/>
      <c r="Z135" s="5"/>
    </row>
    <row r="13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5"/>
      <c r="X136" s="5"/>
      <c r="Y136" s="5"/>
      <c r="Z136" s="5"/>
    </row>
    <row r="137"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5"/>
      <c r="X137" s="5"/>
      <c r="Y137" s="5"/>
      <c r="Z137" s="5"/>
    </row>
    <row r="138"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5"/>
      <c r="X138" s="5"/>
      <c r="Y138" s="5"/>
      <c r="Z138" s="5"/>
    </row>
    <row r="139"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5"/>
      <c r="X139" s="5"/>
      <c r="Y139" s="5"/>
      <c r="Z139" s="5"/>
    </row>
    <row r="140"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5"/>
      <c r="X140" s="5"/>
      <c r="Y140" s="5"/>
      <c r="Z140" s="5"/>
    </row>
    <row r="141"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5"/>
      <c r="X141" s="5"/>
      <c r="Y141" s="5"/>
      <c r="Z141" s="5"/>
    </row>
    <row r="142"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5"/>
      <c r="X142" s="5"/>
      <c r="Y142" s="5"/>
      <c r="Z142" s="5"/>
    </row>
    <row r="143"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5"/>
      <c r="X143" s="5"/>
      <c r="Y143" s="5"/>
      <c r="Z143" s="5"/>
    </row>
    <row r="144"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5"/>
      <c r="X144" s="5"/>
      <c r="Y144" s="5"/>
      <c r="Z144" s="5"/>
    </row>
    <row r="145"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5"/>
      <c r="X145" s="5"/>
      <c r="Y145" s="5"/>
      <c r="Z145" s="5"/>
    </row>
    <row r="14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5"/>
      <c r="X146" s="5"/>
      <c r="Y146" s="5"/>
      <c r="Z146" s="5"/>
    </row>
    <row r="147"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5"/>
      <c r="X147" s="5"/>
      <c r="Y147" s="5"/>
      <c r="Z147" s="5"/>
    </row>
    <row r="148"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5"/>
      <c r="X148" s="5"/>
      <c r="Y148" s="5"/>
      <c r="Z148" s="5"/>
    </row>
    <row r="149"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5"/>
      <c r="X149" s="5"/>
      <c r="Y149" s="5"/>
      <c r="Z149" s="5"/>
    </row>
    <row r="150"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5"/>
      <c r="X150" s="5"/>
      <c r="Y150" s="5"/>
      <c r="Z150" s="5"/>
    </row>
    <row r="151"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5"/>
      <c r="X151" s="5"/>
      <c r="Y151" s="5"/>
      <c r="Z151" s="5"/>
    </row>
    <row r="152"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5"/>
      <c r="X152" s="5"/>
      <c r="Y152" s="5"/>
      <c r="Z152" s="5"/>
    </row>
    <row r="153"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5"/>
      <c r="X153" s="5"/>
      <c r="Y153" s="5"/>
      <c r="Z153" s="5"/>
    </row>
    <row r="154"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5"/>
      <c r="X154" s="5"/>
      <c r="Y154" s="5"/>
      <c r="Z154" s="5"/>
    </row>
    <row r="155"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5"/>
      <c r="X155" s="5"/>
      <c r="Y155" s="5"/>
      <c r="Z155" s="5"/>
    </row>
    <row r="15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5"/>
      <c r="X156" s="5"/>
      <c r="Y156" s="5"/>
      <c r="Z156" s="5"/>
    </row>
    <row r="157"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5"/>
      <c r="X157" s="5"/>
      <c r="Y157" s="5"/>
      <c r="Z157" s="5"/>
    </row>
    <row r="158"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5"/>
      <c r="X158" s="5"/>
      <c r="Y158" s="5"/>
      <c r="Z158" s="5"/>
    </row>
    <row r="159"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5"/>
      <c r="X159" s="5"/>
      <c r="Y159" s="5"/>
      <c r="Z159" s="5"/>
    </row>
    <row r="160"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5"/>
      <c r="X160" s="5"/>
      <c r="Y160" s="5"/>
      <c r="Z160" s="5"/>
    </row>
    <row r="161" ht="12.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5"/>
      <c r="X161" s="5"/>
      <c r="Y161" s="5"/>
      <c r="Z161" s="5"/>
    </row>
    <row r="162" ht="12.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5"/>
      <c r="X162" s="5"/>
      <c r="Y162" s="5"/>
      <c r="Z162" s="5"/>
    </row>
    <row r="163" ht="12.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5"/>
      <c r="X163" s="5"/>
      <c r="Y163" s="5"/>
      <c r="Z163" s="5"/>
    </row>
    <row r="164" ht="12.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5"/>
      <c r="X164" s="5"/>
      <c r="Y164" s="5"/>
      <c r="Z164" s="5"/>
    </row>
    <row r="165" ht="12.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5"/>
      <c r="X165" s="5"/>
      <c r="Y165" s="5"/>
      <c r="Z165" s="5"/>
    </row>
    <row r="166" ht="12.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5"/>
      <c r="X166" s="5"/>
      <c r="Y166" s="5"/>
      <c r="Z166" s="5"/>
    </row>
    <row r="167" ht="12.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5"/>
      <c r="X167" s="5"/>
      <c r="Y167" s="5"/>
      <c r="Z167" s="5"/>
    </row>
    <row r="168" ht="12.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5"/>
      <c r="X168" s="5"/>
      <c r="Y168" s="5"/>
      <c r="Z168" s="5"/>
    </row>
    <row r="169" ht="12.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5"/>
      <c r="X169" s="5"/>
      <c r="Y169" s="5"/>
      <c r="Z169" s="5"/>
    </row>
    <row r="170" ht="12.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5"/>
      <c r="X170" s="5"/>
      <c r="Y170" s="5"/>
      <c r="Z170" s="5"/>
    </row>
    <row r="171" ht="12.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5"/>
      <c r="X171" s="5"/>
      <c r="Y171" s="5"/>
      <c r="Z171" s="5"/>
    </row>
    <row r="172" ht="12.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5"/>
      <c r="X172" s="5"/>
      <c r="Y172" s="5"/>
      <c r="Z172" s="5"/>
    </row>
    <row r="173" ht="12.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5"/>
      <c r="X173" s="5"/>
      <c r="Y173" s="5"/>
      <c r="Z173" s="5"/>
    </row>
    <row r="174" ht="12.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5"/>
      <c r="X174" s="5"/>
      <c r="Y174" s="5"/>
      <c r="Z174" s="5"/>
    </row>
    <row r="175" ht="12.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5"/>
      <c r="X175" s="5"/>
      <c r="Y175" s="5"/>
      <c r="Z175" s="5"/>
    </row>
    <row r="176" ht="12.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5"/>
      <c r="X176" s="5"/>
      <c r="Y176" s="5"/>
      <c r="Z176" s="5"/>
    </row>
    <row r="177" ht="12.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5"/>
      <c r="X177" s="5"/>
      <c r="Y177" s="5"/>
      <c r="Z177" s="5"/>
    </row>
    <row r="178" ht="12.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5"/>
      <c r="X178" s="5"/>
      <c r="Y178" s="5"/>
      <c r="Z178" s="5"/>
    </row>
    <row r="179" ht="12.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5"/>
      <c r="X179" s="5"/>
      <c r="Y179" s="5"/>
      <c r="Z179" s="5"/>
    </row>
    <row r="180" ht="12.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5"/>
      <c r="X180" s="5"/>
      <c r="Y180" s="5"/>
      <c r="Z180" s="5"/>
    </row>
    <row r="181" ht="12.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5"/>
      <c r="X181" s="5"/>
      <c r="Y181" s="5"/>
      <c r="Z181" s="5"/>
    </row>
    <row r="182" ht="12.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5"/>
      <c r="X182" s="5"/>
      <c r="Y182" s="5"/>
      <c r="Z182" s="5"/>
    </row>
    <row r="183" ht="12.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5"/>
      <c r="X183" s="5"/>
      <c r="Y183" s="5"/>
      <c r="Z183" s="5"/>
    </row>
    <row r="184" ht="12.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5"/>
      <c r="X184" s="5"/>
      <c r="Y184" s="5"/>
      <c r="Z184" s="5"/>
    </row>
    <row r="185" ht="12.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5"/>
      <c r="X185" s="5"/>
      <c r="Y185" s="5"/>
      <c r="Z185" s="5"/>
    </row>
    <row r="186" ht="12.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5"/>
      <c r="X186" s="5"/>
      <c r="Y186" s="5"/>
      <c r="Z186" s="5"/>
    </row>
    <row r="187" ht="12.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5"/>
      <c r="X187" s="5"/>
      <c r="Y187" s="5"/>
      <c r="Z187" s="5"/>
    </row>
    <row r="188" ht="12.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5"/>
      <c r="X188" s="5"/>
      <c r="Y188" s="5"/>
      <c r="Z188" s="5"/>
    </row>
    <row r="189" ht="12.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5"/>
      <c r="X189" s="5"/>
      <c r="Y189" s="5"/>
      <c r="Z189" s="5"/>
    </row>
    <row r="190" ht="12.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5"/>
      <c r="X190" s="5"/>
      <c r="Y190" s="5"/>
      <c r="Z190" s="5"/>
    </row>
    <row r="191" ht="12.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5"/>
      <c r="X191" s="5"/>
      <c r="Y191" s="5"/>
      <c r="Z191" s="5"/>
    </row>
    <row r="192" ht="12.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5"/>
      <c r="X192" s="5"/>
      <c r="Y192" s="5"/>
      <c r="Z192" s="5"/>
    </row>
    <row r="193" ht="12.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5"/>
      <c r="X193" s="5"/>
      <c r="Y193" s="5"/>
      <c r="Z193" s="5"/>
    </row>
    <row r="194" ht="12.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5"/>
      <c r="X194" s="5"/>
      <c r="Y194" s="5"/>
      <c r="Z194" s="5"/>
    </row>
    <row r="195" ht="12.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5"/>
      <c r="X195" s="5"/>
      <c r="Y195" s="5"/>
      <c r="Z195" s="5"/>
    </row>
    <row r="196" ht="12.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5"/>
      <c r="X196" s="5"/>
      <c r="Y196" s="5"/>
      <c r="Z196" s="5"/>
    </row>
    <row r="197" ht="12.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5"/>
      <c r="X197" s="5"/>
      <c r="Y197" s="5"/>
      <c r="Z197" s="5"/>
    </row>
    <row r="198" ht="12.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5"/>
      <c r="X198" s="5"/>
      <c r="Y198" s="5"/>
      <c r="Z198" s="5"/>
    </row>
    <row r="199" ht="12.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5"/>
      <c r="X199" s="5"/>
      <c r="Y199" s="5"/>
      <c r="Z199" s="5"/>
    </row>
    <row r="200" ht="12.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5"/>
      <c r="X200" s="5"/>
      <c r="Y200" s="5"/>
      <c r="Z200" s="5"/>
    </row>
    <row r="201" ht="12.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5"/>
      <c r="X201" s="5"/>
      <c r="Y201" s="5"/>
      <c r="Z201" s="5"/>
    </row>
    <row r="202" ht="12.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5"/>
      <c r="X202" s="5"/>
      <c r="Y202" s="5"/>
      <c r="Z202" s="5"/>
    </row>
    <row r="203" ht="12.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5"/>
      <c r="X203" s="5"/>
      <c r="Y203" s="5"/>
      <c r="Z203" s="5"/>
    </row>
    <row r="204" ht="12.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5"/>
      <c r="X204" s="5"/>
      <c r="Y204" s="5"/>
      <c r="Z204" s="5"/>
    </row>
    <row r="205" ht="12.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5"/>
      <c r="X205" s="5"/>
      <c r="Y205" s="5"/>
      <c r="Z205" s="5"/>
    </row>
    <row r="206" ht="12.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5"/>
      <c r="X206" s="5"/>
      <c r="Y206" s="5"/>
      <c r="Z206" s="5"/>
    </row>
    <row r="207" ht="12.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5"/>
      <c r="X207" s="5"/>
      <c r="Y207" s="5"/>
      <c r="Z207" s="5"/>
    </row>
    <row r="208" ht="12.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5"/>
      <c r="X208" s="5"/>
      <c r="Y208" s="5"/>
      <c r="Z208" s="5"/>
    </row>
    <row r="209" ht="12.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5"/>
      <c r="X209" s="5"/>
      <c r="Y209" s="5"/>
      <c r="Z209" s="5"/>
    </row>
    <row r="210" ht="12.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5"/>
      <c r="X210" s="5"/>
      <c r="Y210" s="5"/>
      <c r="Z210" s="5"/>
    </row>
    <row r="211" ht="12.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5"/>
      <c r="X211" s="5"/>
      <c r="Y211" s="5"/>
      <c r="Z211" s="5"/>
    </row>
    <row r="212" ht="12.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5"/>
      <c r="X212" s="5"/>
      <c r="Y212" s="5"/>
      <c r="Z212" s="5"/>
    </row>
    <row r="213" ht="12.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5"/>
      <c r="X213" s="5"/>
      <c r="Y213" s="5"/>
      <c r="Z213" s="5"/>
    </row>
    <row r="214" ht="12.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5"/>
      <c r="X214" s="5"/>
      <c r="Y214" s="5"/>
      <c r="Z214" s="5"/>
    </row>
    <row r="215" ht="12.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5"/>
      <c r="X215" s="5"/>
      <c r="Y215" s="5"/>
      <c r="Z215" s="5"/>
    </row>
    <row r="216" ht="12.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5"/>
      <c r="X216" s="5"/>
      <c r="Y216" s="5"/>
      <c r="Z216" s="5"/>
    </row>
    <row r="217" ht="12.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5"/>
      <c r="X217" s="5"/>
      <c r="Y217" s="5"/>
      <c r="Z217" s="5"/>
    </row>
    <row r="218" ht="12.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5"/>
      <c r="X218" s="5"/>
      <c r="Y218" s="5"/>
      <c r="Z218" s="5"/>
    </row>
    <row r="219" ht="12.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5"/>
      <c r="X219" s="5"/>
      <c r="Y219" s="5"/>
      <c r="Z219" s="5"/>
    </row>
    <row r="220" ht="12.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5"/>
      <c r="X220" s="5"/>
      <c r="Y220" s="5"/>
      <c r="Z220" s="5"/>
    </row>
    <row r="221" ht="12.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5"/>
      <c r="X221" s="5"/>
      <c r="Y221" s="5"/>
      <c r="Z221" s="5"/>
    </row>
    <row r="222" ht="12.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5"/>
      <c r="X222" s="5"/>
      <c r="Y222" s="5"/>
      <c r="Z222" s="5"/>
    </row>
    <row r="223" ht="12.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5"/>
      <c r="X223" s="5"/>
      <c r="Y223" s="5"/>
      <c r="Z223" s="5"/>
    </row>
    <row r="224" ht="12.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5"/>
      <c r="X224" s="5"/>
      <c r="Y224" s="5"/>
      <c r="Z224" s="5"/>
    </row>
    <row r="225" ht="12.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5"/>
      <c r="X225" s="5"/>
      <c r="Y225" s="5"/>
      <c r="Z225" s="5"/>
    </row>
    <row r="226" ht="12.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5"/>
      <c r="X226" s="5"/>
      <c r="Y226" s="5"/>
      <c r="Z226" s="5"/>
    </row>
    <row r="227" ht="12.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5"/>
      <c r="X227" s="5"/>
      <c r="Y227" s="5"/>
      <c r="Z227" s="5"/>
    </row>
    <row r="228" ht="12.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5"/>
      <c r="X228" s="5"/>
      <c r="Y228" s="5"/>
      <c r="Z228" s="5"/>
    </row>
    <row r="229" ht="12.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5"/>
      <c r="X229" s="5"/>
      <c r="Y229" s="5"/>
      <c r="Z229" s="5"/>
    </row>
    <row r="230" ht="12.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87401575" footer="0.0" header="0.0" left="0.511811024" right="0.511811024"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2" width="48.29"/>
    <col customWidth="1" min="3" max="26" width="13.0"/>
  </cols>
  <sheetData>
    <row r="1">
      <c r="A1" s="13" t="s">
        <v>25</v>
      </c>
      <c r="B1" s="21" t="s">
        <v>26</v>
      </c>
      <c r="C1" s="41"/>
      <c r="D1" s="41"/>
      <c r="E1" s="41"/>
      <c r="F1" s="41"/>
      <c r="G1" s="41"/>
      <c r="H1" s="41"/>
      <c r="I1" s="41"/>
      <c r="J1" s="41"/>
      <c r="K1" s="41"/>
      <c r="L1" s="41"/>
      <c r="M1" s="41"/>
      <c r="N1" s="41"/>
      <c r="O1" s="41"/>
      <c r="P1" s="41"/>
      <c r="Q1" s="41"/>
      <c r="R1" s="41"/>
      <c r="S1" s="41"/>
      <c r="T1" s="41"/>
      <c r="U1" s="41"/>
      <c r="V1" s="41"/>
      <c r="W1" s="41"/>
      <c r="X1" s="41"/>
      <c r="Y1" s="41"/>
      <c r="Z1" s="41"/>
    </row>
    <row r="2">
      <c r="A2" s="92" t="s">
        <v>499</v>
      </c>
      <c r="B2" s="93" t="s">
        <v>500</v>
      </c>
      <c r="C2" s="94" t="s">
        <v>29</v>
      </c>
      <c r="D2" s="94" t="s">
        <v>30</v>
      </c>
      <c r="E2" s="94" t="s">
        <v>31</v>
      </c>
      <c r="F2" s="94" t="s">
        <v>32</v>
      </c>
      <c r="G2" s="94" t="s">
        <v>33</v>
      </c>
      <c r="H2" s="94" t="s">
        <v>34</v>
      </c>
      <c r="I2" s="94" t="s">
        <v>35</v>
      </c>
      <c r="J2" s="94" t="s">
        <v>36</v>
      </c>
      <c r="K2" s="94" t="s">
        <v>37</v>
      </c>
      <c r="L2" s="94" t="s">
        <v>38</v>
      </c>
      <c r="M2" s="94" t="s">
        <v>39</v>
      </c>
      <c r="N2" s="94" t="s">
        <v>40</v>
      </c>
      <c r="O2" s="94" t="s">
        <v>41</v>
      </c>
      <c r="P2" s="94" t="s">
        <v>42</v>
      </c>
      <c r="Q2" s="94" t="s">
        <v>43</v>
      </c>
      <c r="R2" s="94" t="s">
        <v>44</v>
      </c>
      <c r="S2" s="94" t="s">
        <v>45</v>
      </c>
      <c r="T2" s="94" t="s">
        <v>46</v>
      </c>
      <c r="U2" s="94" t="s">
        <v>47</v>
      </c>
      <c r="V2" s="94"/>
      <c r="W2" s="94"/>
      <c r="X2" s="94"/>
      <c r="Y2" s="94"/>
      <c r="Z2" s="94"/>
    </row>
    <row r="3">
      <c r="A3" s="86" t="s">
        <v>369</v>
      </c>
      <c r="B3" s="87" t="s">
        <v>370</v>
      </c>
      <c r="C3" s="41"/>
      <c r="D3" s="41"/>
      <c r="E3" s="41"/>
      <c r="F3" s="41"/>
      <c r="G3" s="41"/>
      <c r="H3" s="41"/>
      <c r="I3" s="41"/>
      <c r="J3" s="41"/>
      <c r="K3" s="41"/>
      <c r="L3" s="41"/>
      <c r="M3" s="41"/>
      <c r="N3" s="41"/>
      <c r="O3" s="41"/>
      <c r="P3" s="41"/>
      <c r="Q3" s="41"/>
      <c r="R3" s="41"/>
      <c r="S3" s="41"/>
      <c r="T3" s="41"/>
      <c r="U3" s="41"/>
      <c r="V3" s="41"/>
      <c r="W3" s="41"/>
      <c r="X3" s="41"/>
      <c r="Y3" s="41"/>
      <c r="Z3" s="41"/>
    </row>
    <row r="4">
      <c r="A4" s="56" t="s">
        <v>371</v>
      </c>
      <c r="B4" s="57" t="s">
        <v>372</v>
      </c>
      <c r="C4" s="58">
        <v>1379.0</v>
      </c>
      <c r="D4" s="58">
        <v>-7686.0</v>
      </c>
      <c r="E4" s="58">
        <v>-7089.0</v>
      </c>
      <c r="F4" s="58">
        <v>-2420.0</v>
      </c>
      <c r="G4" s="58">
        <v>-9924.0</v>
      </c>
      <c r="H4" s="58">
        <v>-2795.0</v>
      </c>
      <c r="I4" s="58">
        <v>8761.0</v>
      </c>
      <c r="J4" s="58">
        <v>8131.0</v>
      </c>
      <c r="K4" s="58">
        <v>-6517.0</v>
      </c>
      <c r="L4" s="58">
        <v>-12571.0</v>
      </c>
      <c r="M4" s="58">
        <v>17870.0</v>
      </c>
      <c r="N4" s="58">
        <v>-3015.0</v>
      </c>
      <c r="O4" s="58">
        <v>-8413.0</v>
      </c>
      <c r="P4" s="58">
        <v>-5310.0</v>
      </c>
      <c r="Q4" s="58">
        <v>2747.0</v>
      </c>
      <c r="R4" s="58">
        <v>13639.0</v>
      </c>
      <c r="S4" s="58">
        <v>11232.0</v>
      </c>
      <c r="T4" s="58">
        <v>2132.0</v>
      </c>
      <c r="U4" s="58">
        <v>-10089.0</v>
      </c>
      <c r="V4" s="58"/>
      <c r="W4" s="58"/>
      <c r="X4" s="58"/>
      <c r="Y4" s="58"/>
      <c r="Z4" s="58"/>
    </row>
    <row r="5">
      <c r="A5" s="41"/>
      <c r="B5" s="52"/>
      <c r="C5" s="58"/>
      <c r="D5" s="58"/>
      <c r="E5" s="58"/>
      <c r="F5" s="58"/>
      <c r="G5" s="58"/>
      <c r="H5" s="58"/>
      <c r="I5" s="58"/>
      <c r="J5" s="58"/>
      <c r="K5" s="58"/>
      <c r="L5" s="58"/>
      <c r="M5" s="58"/>
      <c r="N5" s="58"/>
      <c r="O5" s="58"/>
      <c r="P5" s="58"/>
      <c r="Q5" s="58"/>
      <c r="R5" s="58"/>
      <c r="S5" s="58"/>
      <c r="T5" s="58"/>
      <c r="U5" s="58"/>
      <c r="V5" s="58"/>
      <c r="W5" s="58"/>
      <c r="X5" s="58"/>
      <c r="Y5" s="58"/>
      <c r="Z5" s="58"/>
    </row>
    <row r="6">
      <c r="A6" s="88" t="s">
        <v>373</v>
      </c>
      <c r="B6" s="88" t="s">
        <v>374</v>
      </c>
      <c r="C6" s="58"/>
      <c r="D6" s="58"/>
      <c r="E6" s="58"/>
      <c r="F6" s="58"/>
      <c r="G6" s="58"/>
      <c r="H6" s="58"/>
      <c r="I6" s="58"/>
      <c r="J6" s="58"/>
      <c r="K6" s="58"/>
      <c r="L6" s="58"/>
      <c r="M6" s="58"/>
      <c r="N6" s="58"/>
      <c r="O6" s="58"/>
      <c r="P6" s="58"/>
      <c r="Q6" s="58"/>
      <c r="R6" s="58"/>
      <c r="S6" s="58"/>
      <c r="T6" s="58"/>
      <c r="U6" s="58"/>
      <c r="V6" s="58"/>
      <c r="W6" s="58"/>
      <c r="X6" s="58"/>
      <c r="Y6" s="58"/>
      <c r="Z6" s="58"/>
    </row>
    <row r="7">
      <c r="A7" s="41" t="s">
        <v>184</v>
      </c>
      <c r="B7" s="52" t="s">
        <v>185</v>
      </c>
      <c r="C7" s="53">
        <v>15831.0</v>
      </c>
      <c r="D7" s="53">
        <v>15696.0</v>
      </c>
      <c r="E7" s="53">
        <v>15236.0</v>
      </c>
      <c r="F7" s="53">
        <v>15173.0</v>
      </c>
      <c r="G7" s="53">
        <v>14680.0</v>
      </c>
      <c r="H7" s="53">
        <v>11276.0</v>
      </c>
      <c r="I7" s="53">
        <v>10110.0</v>
      </c>
      <c r="J7" s="53">
        <v>10519.0</v>
      </c>
      <c r="K7" s="53">
        <v>10593.0</v>
      </c>
      <c r="L7" s="53">
        <v>10195.0</v>
      </c>
      <c r="M7" s="53">
        <v>10096.0</v>
      </c>
      <c r="N7" s="53">
        <v>10067.0</v>
      </c>
      <c r="O7" s="53">
        <v>9452.0</v>
      </c>
      <c r="P7" s="53">
        <v>10049.0</v>
      </c>
      <c r="Q7" s="53">
        <v>8844.0</v>
      </c>
      <c r="R7" s="53">
        <v>9794.0</v>
      </c>
      <c r="S7" s="53">
        <v>3189.0</v>
      </c>
      <c r="T7" s="53">
        <v>3219.84</v>
      </c>
      <c r="U7" s="53">
        <v>3209.47999999999</v>
      </c>
      <c r="V7" s="53"/>
      <c r="W7" s="53"/>
      <c r="X7" s="53"/>
      <c r="Y7" s="53"/>
      <c r="Z7" s="53"/>
    </row>
    <row r="8">
      <c r="A8" s="41" t="s">
        <v>375</v>
      </c>
      <c r="B8" s="52" t="s">
        <v>376</v>
      </c>
      <c r="C8" s="53">
        <v>0.0</v>
      </c>
      <c r="D8" s="53">
        <v>0.0</v>
      </c>
      <c r="E8" s="53">
        <v>0.0</v>
      </c>
      <c r="F8" s="53">
        <v>0.0</v>
      </c>
      <c r="G8" s="53">
        <v>0.0</v>
      </c>
      <c r="H8" s="53">
        <v>0.0</v>
      </c>
      <c r="I8" s="53">
        <v>3203.0</v>
      </c>
      <c r="J8" s="53">
        <v>694.0</v>
      </c>
      <c r="K8" s="53">
        <v>695.0</v>
      </c>
      <c r="L8" s="53">
        <v>280.0</v>
      </c>
      <c r="M8" s="53">
        <v>1858.0</v>
      </c>
      <c r="N8" s="53">
        <v>1280.0</v>
      </c>
      <c r="O8" s="53">
        <v>0.0</v>
      </c>
      <c r="P8" s="53">
        <v>1089.0</v>
      </c>
      <c r="Q8" s="53">
        <v>360.0</v>
      </c>
      <c r="R8" s="53">
        <v>-185.0</v>
      </c>
      <c r="S8" s="53">
        <v>766.0</v>
      </c>
      <c r="T8" s="53">
        <v>-1071.0</v>
      </c>
      <c r="U8" s="53">
        <v>-7.0</v>
      </c>
      <c r="V8" s="53"/>
      <c r="W8" s="53"/>
      <c r="X8" s="53"/>
      <c r="Y8" s="53"/>
      <c r="Z8" s="53"/>
    </row>
    <row r="9">
      <c r="A9" s="41" t="s">
        <v>148</v>
      </c>
      <c r="B9" s="52" t="s">
        <v>377</v>
      </c>
      <c r="C9" s="53">
        <v>0.0</v>
      </c>
      <c r="D9" s="53">
        <v>-121.0</v>
      </c>
      <c r="E9" s="53">
        <v>0.0</v>
      </c>
      <c r="F9" s="53">
        <v>0.0</v>
      </c>
      <c r="G9" s="53">
        <v>0.0</v>
      </c>
      <c r="H9" s="53">
        <v>1.0</v>
      </c>
      <c r="I9" s="53">
        <v>63.0</v>
      </c>
      <c r="J9" s="53">
        <v>952.0</v>
      </c>
      <c r="K9" s="53">
        <v>0.0</v>
      </c>
      <c r="L9" s="53">
        <v>-177.0</v>
      </c>
      <c r="M9" s="53">
        <v>251.0</v>
      </c>
      <c r="N9" s="53">
        <v>2724.0</v>
      </c>
      <c r="O9" s="53">
        <v>0.0</v>
      </c>
      <c r="P9" s="53">
        <v>50.0</v>
      </c>
      <c r="Q9" s="53">
        <v>-32.0</v>
      </c>
      <c r="R9" s="53">
        <v>1669.0</v>
      </c>
      <c r="S9" s="53">
        <v>0.0</v>
      </c>
      <c r="T9" s="53">
        <v>0.0</v>
      </c>
      <c r="U9" s="53">
        <v>287.0</v>
      </c>
      <c r="V9" s="53"/>
      <c r="W9" s="53"/>
      <c r="X9" s="53"/>
      <c r="Y9" s="53"/>
      <c r="Z9" s="53"/>
    </row>
    <row r="10">
      <c r="A10" s="41" t="s">
        <v>125</v>
      </c>
      <c r="B10" s="52" t="s">
        <v>95</v>
      </c>
      <c r="C10" s="53">
        <v>5475.0</v>
      </c>
      <c r="D10" s="53">
        <v>4337.0</v>
      </c>
      <c r="E10" s="53">
        <v>4092.0</v>
      </c>
      <c r="F10" s="53">
        <v>1818.0</v>
      </c>
      <c r="G10" s="53">
        <v>10227.0</v>
      </c>
      <c r="H10" s="53">
        <v>7278.0</v>
      </c>
      <c r="I10" s="53">
        <v>7011.0</v>
      </c>
      <c r="J10" s="53">
        <v>16007.0</v>
      </c>
      <c r="K10" s="53">
        <v>8290.0</v>
      </c>
      <c r="L10" s="53">
        <v>6758.0</v>
      </c>
      <c r="M10" s="53">
        <v>9684.0</v>
      </c>
      <c r="N10" s="53">
        <v>8541.0</v>
      </c>
      <c r="O10" s="53">
        <v>6693.0</v>
      </c>
      <c r="P10" s="53">
        <v>9090.0</v>
      </c>
      <c r="Q10" s="53">
        <v>7562.0</v>
      </c>
      <c r="R10" s="53">
        <v>7262.0</v>
      </c>
      <c r="S10" s="53">
        <v>7103.0</v>
      </c>
      <c r="T10" s="53">
        <v>8511.0</v>
      </c>
      <c r="U10" s="53">
        <v>9930.0</v>
      </c>
      <c r="V10" s="53"/>
      <c r="W10" s="53"/>
      <c r="X10" s="53"/>
      <c r="Y10" s="53"/>
      <c r="Z10" s="53"/>
    </row>
    <row r="11">
      <c r="A11" s="41" t="s">
        <v>378</v>
      </c>
      <c r="B11" s="52" t="s">
        <v>187</v>
      </c>
      <c r="C11" s="53">
        <v>0.0</v>
      </c>
      <c r="D11" s="53">
        <v>0.0</v>
      </c>
      <c r="E11" s="53">
        <v>0.0</v>
      </c>
      <c r="F11" s="53">
        <v>0.0</v>
      </c>
      <c r="G11" s="53">
        <v>0.0</v>
      </c>
      <c r="H11" s="53">
        <v>0.0</v>
      </c>
      <c r="I11" s="53">
        <v>0.0</v>
      </c>
      <c r="J11" s="53">
        <v>0.0</v>
      </c>
      <c r="K11" s="53">
        <v>0.0</v>
      </c>
      <c r="L11" s="53">
        <v>0.0</v>
      </c>
      <c r="M11" s="53">
        <v>0.0</v>
      </c>
      <c r="N11" s="53">
        <v>0.0</v>
      </c>
      <c r="O11" s="53">
        <v>0.0</v>
      </c>
      <c r="P11" s="53">
        <v>0.0</v>
      </c>
      <c r="Q11" s="53">
        <v>0.0</v>
      </c>
      <c r="R11" s="53">
        <v>0.0</v>
      </c>
      <c r="S11" s="53">
        <v>0.0</v>
      </c>
      <c r="T11" s="53">
        <v>0.0</v>
      </c>
      <c r="U11" s="53">
        <v>35493.01</v>
      </c>
      <c r="V11" s="53"/>
      <c r="W11" s="53"/>
      <c r="X11" s="53"/>
      <c r="Y11" s="53"/>
      <c r="Z11" s="53"/>
    </row>
    <row r="12">
      <c r="A12" s="41" t="s">
        <v>379</v>
      </c>
      <c r="B12" s="52" t="s">
        <v>380</v>
      </c>
      <c r="C12" s="53">
        <v>16.0</v>
      </c>
      <c r="D12" s="53">
        <v>29.0</v>
      </c>
      <c r="E12" s="53">
        <v>-10.0</v>
      </c>
      <c r="F12" s="53">
        <v>42.0</v>
      </c>
      <c r="G12" s="53">
        <v>471.0</v>
      </c>
      <c r="H12" s="53">
        <v>-155.0</v>
      </c>
      <c r="I12" s="53">
        <v>119.0</v>
      </c>
      <c r="J12" s="53">
        <v>137.0</v>
      </c>
      <c r="K12" s="53">
        <v>420.0</v>
      </c>
      <c r="L12" s="53">
        <v>-12.0</v>
      </c>
      <c r="M12" s="53">
        <v>909.0</v>
      </c>
      <c r="N12" s="53">
        <v>378.0</v>
      </c>
      <c r="O12" s="53">
        <v>3865.0</v>
      </c>
      <c r="P12" s="53">
        <v>-3698.0</v>
      </c>
      <c r="Q12" s="53">
        <v>-945.0</v>
      </c>
      <c r="R12" s="53">
        <v>-764.0</v>
      </c>
      <c r="S12" s="53">
        <v>90.0</v>
      </c>
      <c r="T12" s="53">
        <v>-296.75</v>
      </c>
      <c r="U12" s="53">
        <v>-84.54</v>
      </c>
      <c r="V12" s="53"/>
      <c r="W12" s="53"/>
      <c r="X12" s="53"/>
      <c r="Y12" s="53"/>
      <c r="Z12" s="53"/>
    </row>
    <row r="13">
      <c r="A13" s="41" t="s">
        <v>381</v>
      </c>
      <c r="B13" s="52" t="s">
        <v>382</v>
      </c>
      <c r="C13" s="53">
        <v>0.0</v>
      </c>
      <c r="D13" s="53">
        <v>834.0</v>
      </c>
      <c r="E13" s="53">
        <v>-834.0</v>
      </c>
      <c r="F13" s="53">
        <v>0.0</v>
      </c>
      <c r="G13" s="53">
        <v>0.0</v>
      </c>
      <c r="H13" s="53">
        <v>0.0</v>
      </c>
      <c r="I13" s="53">
        <v>0.0</v>
      </c>
      <c r="J13" s="53">
        <v>0.0</v>
      </c>
      <c r="K13" s="53">
        <v>0.0</v>
      </c>
      <c r="L13" s="53">
        <v>0.0</v>
      </c>
      <c r="M13" s="53">
        <v>0.0</v>
      </c>
      <c r="N13" s="53">
        <v>0.0</v>
      </c>
      <c r="O13" s="53">
        <v>0.0</v>
      </c>
      <c r="P13" s="53">
        <v>0.0</v>
      </c>
      <c r="Q13" s="53">
        <v>0.0</v>
      </c>
      <c r="R13" s="53">
        <v>0.0</v>
      </c>
      <c r="S13" s="53">
        <v>0.0</v>
      </c>
      <c r="T13" s="53">
        <v>0.0</v>
      </c>
      <c r="U13" s="53">
        <v>0.0</v>
      </c>
      <c r="V13" s="53"/>
      <c r="W13" s="53"/>
      <c r="X13" s="53"/>
      <c r="Y13" s="53"/>
      <c r="Z13" s="53"/>
    </row>
    <row r="14">
      <c r="A14" s="41" t="s">
        <v>501</v>
      </c>
      <c r="B14" s="52" t="s">
        <v>502</v>
      </c>
      <c r="C14" s="53">
        <v>28193.0</v>
      </c>
      <c r="D14" s="53">
        <v>22928.0</v>
      </c>
      <c r="E14" s="53">
        <v>15492.0</v>
      </c>
      <c r="F14" s="53">
        <v>11781.0</v>
      </c>
      <c r="G14" s="53">
        <v>34025.0</v>
      </c>
      <c r="H14" s="53">
        <v>41400.0</v>
      </c>
      <c r="I14" s="53">
        <v>48255.0</v>
      </c>
      <c r="J14" s="53">
        <v>44527.0</v>
      </c>
      <c r="K14" s="53">
        <v>46759.0</v>
      </c>
      <c r="L14" s="53">
        <v>40736.0</v>
      </c>
      <c r="M14" s="53">
        <v>29522.0</v>
      </c>
      <c r="N14" s="53">
        <v>29517.0</v>
      </c>
      <c r="O14" s="53">
        <v>43863.0</v>
      </c>
      <c r="P14" s="53">
        <v>41473.0</v>
      </c>
      <c r="Q14" s="53">
        <v>38256.0</v>
      </c>
      <c r="R14" s="53">
        <v>35059.0</v>
      </c>
      <c r="S14" s="53">
        <v>38359.0</v>
      </c>
      <c r="T14" s="53">
        <v>43693.57000000001</v>
      </c>
      <c r="U14" s="53">
        <v>48013.5799999999</v>
      </c>
      <c r="V14" s="53"/>
      <c r="W14" s="53"/>
      <c r="X14" s="53"/>
      <c r="Y14" s="53"/>
      <c r="Z14" s="53"/>
    </row>
    <row r="15">
      <c r="A15" s="41" t="s">
        <v>383</v>
      </c>
      <c r="B15" s="52" t="s">
        <v>384</v>
      </c>
      <c r="C15" s="53">
        <v>2437.0</v>
      </c>
      <c r="D15" s="53">
        <v>975.0</v>
      </c>
      <c r="E15" s="53">
        <v>2416.0</v>
      </c>
      <c r="F15" s="53">
        <v>829.0</v>
      </c>
      <c r="G15" s="53">
        <v>2866.0</v>
      </c>
      <c r="H15" s="53">
        <v>72.0</v>
      </c>
      <c r="I15" s="53">
        <v>49.0</v>
      </c>
      <c r="J15" s="53">
        <v>36.0</v>
      </c>
      <c r="K15" s="53">
        <v>67.0</v>
      </c>
      <c r="L15" s="53">
        <v>22.0</v>
      </c>
      <c r="M15" s="53">
        <v>6208.0</v>
      </c>
      <c r="N15" s="53">
        <v>5098.0</v>
      </c>
      <c r="O15" s="53">
        <v>-13465.0</v>
      </c>
      <c r="P15" s="53">
        <v>919.0</v>
      </c>
      <c r="Q15" s="53">
        <v>-3049.0</v>
      </c>
      <c r="R15" s="53">
        <v>-2407.0</v>
      </c>
      <c r="S15" s="53">
        <v>-3644.0</v>
      </c>
      <c r="T15" s="53">
        <v>-1166.5699999999997</v>
      </c>
      <c r="U15" s="53">
        <v>-14301.9399999999</v>
      </c>
      <c r="V15" s="53"/>
      <c r="W15" s="53"/>
      <c r="X15" s="53"/>
      <c r="Y15" s="53"/>
      <c r="Z15" s="53"/>
    </row>
    <row r="16">
      <c r="A16" s="41"/>
      <c r="B16" s="52"/>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88" t="s">
        <v>385</v>
      </c>
      <c r="B17" s="88" t="s">
        <v>386</v>
      </c>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41" t="s">
        <v>281</v>
      </c>
      <c r="B18" s="52" t="s">
        <v>282</v>
      </c>
      <c r="C18" s="53">
        <v>23249.0</v>
      </c>
      <c r="D18" s="53">
        <v>-99670.0</v>
      </c>
      <c r="E18" s="53">
        <v>-110771.0</v>
      </c>
      <c r="F18" s="53">
        <v>-282513.0</v>
      </c>
      <c r="G18" s="53">
        <v>-262345.0</v>
      </c>
      <c r="H18" s="53">
        <v>41873.0</v>
      </c>
      <c r="I18" s="53">
        <v>-34675.0</v>
      </c>
      <c r="J18" s="53">
        <v>-54009.0</v>
      </c>
      <c r="K18" s="53">
        <v>-137290.0</v>
      </c>
      <c r="L18" s="53">
        <v>155525.0</v>
      </c>
      <c r="M18" s="53">
        <v>-181364.0</v>
      </c>
      <c r="N18" s="53">
        <v>-113998.0</v>
      </c>
      <c r="O18" s="53">
        <v>-245968.0</v>
      </c>
      <c r="P18" s="53">
        <v>202582.0</v>
      </c>
      <c r="Q18" s="53">
        <v>-37580.0</v>
      </c>
      <c r="R18" s="53">
        <v>-17279.0</v>
      </c>
      <c r="S18" s="53">
        <v>-330005.0</v>
      </c>
      <c r="T18" s="53">
        <v>-9863.0</v>
      </c>
      <c r="U18" s="53">
        <v>82612.0</v>
      </c>
      <c r="V18" s="53"/>
      <c r="W18" s="53"/>
      <c r="X18" s="53"/>
      <c r="Y18" s="53"/>
      <c r="Z18" s="53"/>
    </row>
    <row r="19">
      <c r="A19" s="41" t="s">
        <v>387</v>
      </c>
      <c r="B19" s="52" t="s">
        <v>289</v>
      </c>
      <c r="C19" s="53">
        <v>-7475.0</v>
      </c>
      <c r="D19" s="53">
        <v>-3367.0</v>
      </c>
      <c r="E19" s="53">
        <v>-4782.0</v>
      </c>
      <c r="F19" s="53">
        <v>1852.0</v>
      </c>
      <c r="G19" s="53">
        <v>16095.0</v>
      </c>
      <c r="H19" s="53">
        <v>-4021.0</v>
      </c>
      <c r="I19" s="53">
        <v>-11457.0</v>
      </c>
      <c r="J19" s="53">
        <v>8405.0</v>
      </c>
      <c r="K19" s="53">
        <v>-2545.0</v>
      </c>
      <c r="L19" s="53">
        <v>-3738.0</v>
      </c>
      <c r="M19" s="53">
        <v>-3369.0</v>
      </c>
      <c r="N19" s="53">
        <v>-11641.0</v>
      </c>
      <c r="O19" s="53">
        <v>0.0</v>
      </c>
      <c r="P19" s="53">
        <v>-1869.0</v>
      </c>
      <c r="Q19" s="53">
        <v>321.0</v>
      </c>
      <c r="R19" s="53">
        <v>927.0</v>
      </c>
      <c r="S19" s="53">
        <v>-4330.0</v>
      </c>
      <c r="T19" s="53">
        <v>-848.0</v>
      </c>
      <c r="U19" s="53">
        <v>-816.0</v>
      </c>
      <c r="V19" s="53"/>
      <c r="W19" s="53"/>
      <c r="X19" s="53"/>
      <c r="Y19" s="53"/>
      <c r="Z19" s="53"/>
    </row>
    <row r="20">
      <c r="A20" s="41" t="s">
        <v>302</v>
      </c>
      <c r="B20" s="52" t="s">
        <v>303</v>
      </c>
      <c r="C20" s="53">
        <v>1.0</v>
      </c>
      <c r="D20" s="53">
        <v>-1.0</v>
      </c>
      <c r="E20" s="53">
        <v>-7.0</v>
      </c>
      <c r="F20" s="53">
        <v>-3.0</v>
      </c>
      <c r="G20" s="53">
        <v>-22.0</v>
      </c>
      <c r="H20" s="53">
        <v>0.0</v>
      </c>
      <c r="I20" s="53">
        <v>0.0</v>
      </c>
      <c r="J20" s="53">
        <v>0.0</v>
      </c>
      <c r="K20" s="53">
        <v>-37.0</v>
      </c>
      <c r="L20" s="53">
        <v>-24.0</v>
      </c>
      <c r="M20" s="53">
        <v>-37.0</v>
      </c>
      <c r="N20" s="53">
        <v>13.0</v>
      </c>
      <c r="O20" s="53">
        <v>0.0</v>
      </c>
      <c r="P20" s="53">
        <v>2.0</v>
      </c>
      <c r="Q20" s="53">
        <v>279.0</v>
      </c>
      <c r="R20" s="53">
        <v>-2.0</v>
      </c>
      <c r="S20" s="53">
        <v>22.0</v>
      </c>
      <c r="T20" s="53">
        <v>-3.0</v>
      </c>
      <c r="U20" s="53">
        <v>-6.0</v>
      </c>
      <c r="V20" s="53"/>
      <c r="W20" s="53"/>
      <c r="X20" s="53"/>
      <c r="Y20" s="53"/>
      <c r="Z20" s="53"/>
    </row>
    <row r="21" ht="15.75" customHeight="1">
      <c r="A21" s="41" t="s">
        <v>292</v>
      </c>
      <c r="B21" s="52" t="s">
        <v>388</v>
      </c>
      <c r="C21" s="53">
        <v>-29979.0</v>
      </c>
      <c r="D21" s="53">
        <v>3540.0</v>
      </c>
      <c r="E21" s="53">
        <v>-4864.0</v>
      </c>
      <c r="F21" s="53">
        <v>29253.0</v>
      </c>
      <c r="G21" s="53">
        <v>26417.0</v>
      </c>
      <c r="H21" s="53">
        <v>-6228.0</v>
      </c>
      <c r="I21" s="53">
        <v>4415.0</v>
      </c>
      <c r="J21" s="53">
        <v>-35474.0</v>
      </c>
      <c r="K21" s="53">
        <v>40566.0</v>
      </c>
      <c r="L21" s="53">
        <v>-9206.0</v>
      </c>
      <c r="M21" s="53">
        <v>-2449.0</v>
      </c>
      <c r="N21" s="53">
        <v>-41402.0</v>
      </c>
      <c r="O21" s="53">
        <v>48984.0</v>
      </c>
      <c r="P21" s="53">
        <v>-16559.0</v>
      </c>
      <c r="Q21" s="53">
        <v>1182.0</v>
      </c>
      <c r="R21" s="53">
        <v>-79585.0</v>
      </c>
      <c r="S21" s="53">
        <v>69021.0</v>
      </c>
      <c r="T21" s="53">
        <v>4416.0</v>
      </c>
      <c r="U21" s="53">
        <v>4008.0</v>
      </c>
      <c r="V21" s="53"/>
      <c r="W21" s="53"/>
      <c r="X21" s="53"/>
      <c r="Y21" s="53"/>
      <c r="Z21" s="53"/>
    </row>
    <row r="22" ht="15.75" customHeight="1">
      <c r="A22" s="41" t="s">
        <v>319</v>
      </c>
      <c r="B22" s="52" t="s">
        <v>320</v>
      </c>
      <c r="C22" s="53">
        <v>3034.0</v>
      </c>
      <c r="D22" s="53">
        <v>2295.0</v>
      </c>
      <c r="E22" s="53">
        <v>-5090.0</v>
      </c>
      <c r="F22" s="53">
        <v>5471.0</v>
      </c>
      <c r="G22" s="53">
        <v>-8162.0</v>
      </c>
      <c r="H22" s="53">
        <v>2536.0</v>
      </c>
      <c r="I22" s="53">
        <v>-765.0</v>
      </c>
      <c r="J22" s="53">
        <v>1352.0</v>
      </c>
      <c r="K22" s="53">
        <v>-7101.0</v>
      </c>
      <c r="L22" s="53">
        <v>5342.0</v>
      </c>
      <c r="M22" s="53">
        <v>11899.0</v>
      </c>
      <c r="N22" s="53">
        <v>31.0</v>
      </c>
      <c r="O22" s="53">
        <v>0.0</v>
      </c>
      <c r="P22" s="53">
        <v>-3796.0</v>
      </c>
      <c r="Q22" s="53">
        <v>5424.0</v>
      </c>
      <c r="R22" s="53">
        <v>2966.0</v>
      </c>
      <c r="S22" s="53">
        <v>-12148.0</v>
      </c>
      <c r="T22" s="53">
        <v>6684.0</v>
      </c>
      <c r="U22" s="53">
        <v>6663.0</v>
      </c>
      <c r="V22" s="53"/>
      <c r="W22" s="53"/>
      <c r="X22" s="53"/>
      <c r="Y22" s="53"/>
      <c r="Z22" s="53"/>
    </row>
    <row r="23" ht="15.75" customHeight="1">
      <c r="A23" s="41" t="s">
        <v>329</v>
      </c>
      <c r="B23" s="52" t="s">
        <v>330</v>
      </c>
      <c r="C23" s="53">
        <v>1178.0</v>
      </c>
      <c r="D23" s="53">
        <v>545.0</v>
      </c>
      <c r="E23" s="53">
        <v>-723.0</v>
      </c>
      <c r="F23" s="53">
        <v>909.0</v>
      </c>
      <c r="G23" s="53">
        <v>-1669.0</v>
      </c>
      <c r="H23" s="53">
        <v>3123.0</v>
      </c>
      <c r="I23" s="53">
        <v>-1436.0</v>
      </c>
      <c r="J23" s="53">
        <v>-469.0</v>
      </c>
      <c r="K23" s="53">
        <v>-3832.0</v>
      </c>
      <c r="L23" s="53">
        <v>810.0</v>
      </c>
      <c r="M23" s="53">
        <v>5344.0</v>
      </c>
      <c r="N23" s="53">
        <v>6307.0</v>
      </c>
      <c r="O23" s="53">
        <v>0.0</v>
      </c>
      <c r="P23" s="53">
        <v>154.0</v>
      </c>
      <c r="Q23" s="53">
        <v>-1879.0</v>
      </c>
      <c r="R23" s="53">
        <v>-2165.0</v>
      </c>
      <c r="S23" s="53">
        <v>1673.0</v>
      </c>
      <c r="T23" s="53">
        <v>1026.0</v>
      </c>
      <c r="U23" s="53">
        <v>291.0</v>
      </c>
      <c r="V23" s="53"/>
      <c r="W23" s="53"/>
      <c r="X23" s="53"/>
      <c r="Y23" s="53"/>
      <c r="Z23" s="53"/>
    </row>
    <row r="24" ht="15.75" customHeight="1">
      <c r="A24" s="41" t="s">
        <v>331</v>
      </c>
      <c r="B24" s="52" t="s">
        <v>332</v>
      </c>
      <c r="C24" s="53">
        <v>-2740.0</v>
      </c>
      <c r="D24" s="53">
        <v>2969.0</v>
      </c>
      <c r="E24" s="53">
        <v>473.0</v>
      </c>
      <c r="F24" s="53">
        <v>-893.0</v>
      </c>
      <c r="G24" s="53">
        <v>329.0</v>
      </c>
      <c r="H24" s="53">
        <v>888.0</v>
      </c>
      <c r="I24" s="53">
        <v>-1562.0</v>
      </c>
      <c r="J24" s="53">
        <v>369.0</v>
      </c>
      <c r="K24" s="53">
        <v>275.0</v>
      </c>
      <c r="L24" s="53">
        <v>957.0</v>
      </c>
      <c r="M24" s="53">
        <v>469.0</v>
      </c>
      <c r="N24" s="53">
        <v>-786.0</v>
      </c>
      <c r="O24" s="53">
        <v>0.0</v>
      </c>
      <c r="P24" s="53">
        <v>1156.0</v>
      </c>
      <c r="Q24" s="53">
        <v>1173.0</v>
      </c>
      <c r="R24" s="53">
        <v>-685.0</v>
      </c>
      <c r="S24" s="53">
        <v>-907.0</v>
      </c>
      <c r="T24" s="53">
        <v>-560.0</v>
      </c>
      <c r="U24" s="53">
        <v>492.0</v>
      </c>
      <c r="V24" s="53"/>
      <c r="W24" s="53"/>
      <c r="X24" s="53"/>
      <c r="Y24" s="53"/>
      <c r="Z24" s="53"/>
    </row>
    <row r="25" ht="15.75" customHeight="1">
      <c r="A25" s="41" t="s">
        <v>389</v>
      </c>
      <c r="B25" s="52" t="s">
        <v>390</v>
      </c>
      <c r="C25" s="53">
        <v>-1933.0</v>
      </c>
      <c r="D25" s="53">
        <v>-461.0</v>
      </c>
      <c r="E25" s="53">
        <v>-5126.0</v>
      </c>
      <c r="F25" s="53">
        <v>-257.0</v>
      </c>
      <c r="G25" s="53">
        <v>-20249.0</v>
      </c>
      <c r="H25" s="53">
        <v>4356.0</v>
      </c>
      <c r="I25" s="53">
        <v>12070.0</v>
      </c>
      <c r="J25" s="53">
        <v>-8730.0</v>
      </c>
      <c r="K25" s="53">
        <v>984.0</v>
      </c>
      <c r="L25" s="53">
        <v>586.0</v>
      </c>
      <c r="M25" s="53">
        <v>3944.0</v>
      </c>
      <c r="N25" s="53">
        <v>3873.0</v>
      </c>
      <c r="O25" s="53">
        <v>2359.0</v>
      </c>
      <c r="P25" s="53">
        <v>-2419.0</v>
      </c>
      <c r="Q25" s="53">
        <v>914.0</v>
      </c>
      <c r="R25" s="53">
        <v>1738.0</v>
      </c>
      <c r="S25" s="53">
        <v>440.0</v>
      </c>
      <c r="T25" s="53">
        <v>624.6400000000001</v>
      </c>
      <c r="U25" s="53">
        <v>1015.99999999999</v>
      </c>
      <c r="V25" s="53"/>
      <c r="W25" s="53"/>
      <c r="X25" s="53"/>
      <c r="Y25" s="53"/>
      <c r="Z25" s="53"/>
    </row>
    <row r="26" ht="15.75" customHeight="1">
      <c r="A26" s="41" t="s">
        <v>339</v>
      </c>
      <c r="B26" s="52" t="s">
        <v>391</v>
      </c>
      <c r="C26" s="53">
        <v>-6285.0</v>
      </c>
      <c r="D26" s="53">
        <v>93940.0</v>
      </c>
      <c r="E26" s="53">
        <v>50841.0</v>
      </c>
      <c r="F26" s="53">
        <v>52805.0</v>
      </c>
      <c r="G26" s="53">
        <v>88621.0</v>
      </c>
      <c r="H26" s="53">
        <v>12481.0</v>
      </c>
      <c r="I26" s="53">
        <v>67927.0</v>
      </c>
      <c r="J26" s="53">
        <v>-10932.0</v>
      </c>
      <c r="K26" s="53">
        <v>35549.0</v>
      </c>
      <c r="L26" s="53">
        <v>-9845.0</v>
      </c>
      <c r="M26" s="53">
        <v>-197263.0</v>
      </c>
      <c r="N26" s="53">
        <v>272462.0</v>
      </c>
      <c r="O26" s="53">
        <v>-58837.0</v>
      </c>
      <c r="P26" s="53">
        <v>267833.0</v>
      </c>
      <c r="Q26" s="53">
        <v>-224095.0</v>
      </c>
      <c r="R26" s="53">
        <v>-48878.0</v>
      </c>
      <c r="S26" s="53">
        <v>161661.0</v>
      </c>
      <c r="T26" s="53">
        <v>-177935.0</v>
      </c>
      <c r="U26" s="53">
        <v>148327.0</v>
      </c>
      <c r="V26" s="53"/>
      <c r="W26" s="53"/>
      <c r="X26" s="53"/>
      <c r="Y26" s="53"/>
      <c r="Z26" s="53"/>
    </row>
    <row r="27" ht="15.75" customHeight="1">
      <c r="A27" s="41" t="s">
        <v>392</v>
      </c>
      <c r="B27" s="52" t="s">
        <v>393</v>
      </c>
      <c r="C27" s="53">
        <v>-2268.0</v>
      </c>
      <c r="D27" s="53">
        <v>2682.0</v>
      </c>
      <c r="E27" s="53">
        <v>9449.0</v>
      </c>
      <c r="F27" s="53">
        <v>-8653.0</v>
      </c>
      <c r="G27" s="53">
        <v>-1443.0</v>
      </c>
      <c r="H27" s="53">
        <v>3727.0</v>
      </c>
      <c r="I27" s="53">
        <v>-8783.0</v>
      </c>
      <c r="J27" s="53">
        <v>3784.0</v>
      </c>
      <c r="K27" s="53">
        <v>-5445.0</v>
      </c>
      <c r="L27" s="53">
        <v>7218.0</v>
      </c>
      <c r="M27" s="53">
        <v>-5974.0</v>
      </c>
      <c r="N27" s="53">
        <v>-2205.0</v>
      </c>
      <c r="O27" s="53">
        <v>0.0</v>
      </c>
      <c r="P27" s="53">
        <v>142.0</v>
      </c>
      <c r="Q27" s="53">
        <v>4666.0</v>
      </c>
      <c r="R27" s="53">
        <v>-869.0</v>
      </c>
      <c r="S27" s="53">
        <v>13635.0</v>
      </c>
      <c r="T27" s="53">
        <v>12935.0</v>
      </c>
      <c r="U27" s="53">
        <v>2609.06</v>
      </c>
      <c r="V27" s="53"/>
      <c r="W27" s="53"/>
      <c r="X27" s="53"/>
      <c r="Y27" s="53"/>
      <c r="Z27" s="53"/>
    </row>
    <row r="28" ht="15.75" customHeight="1">
      <c r="A28" s="56" t="s">
        <v>394</v>
      </c>
      <c r="B28" s="57" t="s">
        <v>395</v>
      </c>
      <c r="C28" s="58">
        <f t="shared" ref="C28:U28" si="1">SUM(C4,C7:C15,C18:C27)</f>
        <v>30113</v>
      </c>
      <c r="D28" s="58">
        <f t="shared" si="1"/>
        <v>39464</v>
      </c>
      <c r="E28" s="58">
        <f t="shared" si="1"/>
        <v>-41297</v>
      </c>
      <c r="F28" s="58">
        <f t="shared" si="1"/>
        <v>-174806</v>
      </c>
      <c r="G28" s="58">
        <f t="shared" si="1"/>
        <v>-110083</v>
      </c>
      <c r="H28" s="58">
        <f t="shared" si="1"/>
        <v>115812</v>
      </c>
      <c r="I28" s="58">
        <f t="shared" si="1"/>
        <v>103305</v>
      </c>
      <c r="J28" s="58">
        <f t="shared" si="1"/>
        <v>-14701</v>
      </c>
      <c r="K28" s="58">
        <f t="shared" si="1"/>
        <v>-18569</v>
      </c>
      <c r="L28" s="58">
        <f t="shared" si="1"/>
        <v>192856</v>
      </c>
      <c r="M28" s="58">
        <f t="shared" si="1"/>
        <v>-292402</v>
      </c>
      <c r="N28" s="58">
        <f t="shared" si="1"/>
        <v>167244</v>
      </c>
      <c r="O28" s="58">
        <f t="shared" si="1"/>
        <v>-211467</v>
      </c>
      <c r="P28" s="58">
        <f t="shared" si="1"/>
        <v>500888</v>
      </c>
      <c r="Q28" s="58">
        <f t="shared" si="1"/>
        <v>-195852</v>
      </c>
      <c r="R28" s="58">
        <f t="shared" si="1"/>
        <v>-79765</v>
      </c>
      <c r="S28" s="58">
        <f t="shared" si="1"/>
        <v>-43843</v>
      </c>
      <c r="T28" s="58">
        <f t="shared" si="1"/>
        <v>-108501.27</v>
      </c>
      <c r="U28" s="58">
        <f t="shared" si="1"/>
        <v>317646.65</v>
      </c>
      <c r="V28" s="58"/>
      <c r="W28" s="58"/>
      <c r="X28" s="58"/>
      <c r="Y28" s="58"/>
      <c r="Z28" s="58"/>
    </row>
    <row r="29" ht="15.75" customHeight="1">
      <c r="A29" s="56"/>
      <c r="B29" s="57"/>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5.75" customHeight="1">
      <c r="A30" s="41" t="s">
        <v>396</v>
      </c>
      <c r="B30" s="52" t="s">
        <v>397</v>
      </c>
      <c r="C30" s="53">
        <v>-45.0</v>
      </c>
      <c r="D30" s="53">
        <v>-3356.0</v>
      </c>
      <c r="E30" s="53">
        <v>-13.0</v>
      </c>
      <c r="F30" s="53">
        <v>-37.0</v>
      </c>
      <c r="G30" s="53">
        <v>-6550.0</v>
      </c>
      <c r="H30" s="53">
        <v>-15.0</v>
      </c>
      <c r="I30" s="53">
        <v>-15.0</v>
      </c>
      <c r="J30" s="53">
        <v>11.0</v>
      </c>
      <c r="K30" s="53">
        <v>-41.0</v>
      </c>
      <c r="L30" s="53">
        <v>-36.0</v>
      </c>
      <c r="M30" s="53">
        <v>-64.0</v>
      </c>
      <c r="N30" s="53">
        <v>-11255.0</v>
      </c>
      <c r="O30" s="53">
        <v>-52.0</v>
      </c>
      <c r="P30" s="53">
        <v>-366.0</v>
      </c>
      <c r="Q30" s="53">
        <v>-508.0</v>
      </c>
      <c r="R30" s="53">
        <v>-3626.0</v>
      </c>
      <c r="S30" s="53">
        <v>-56.0</v>
      </c>
      <c r="T30" s="53">
        <v>-47.95</v>
      </c>
      <c r="U30" s="53">
        <v>-39.57</v>
      </c>
      <c r="V30" s="53"/>
      <c r="W30" s="53"/>
      <c r="X30" s="53"/>
      <c r="Y30" s="53"/>
      <c r="Z30" s="53"/>
    </row>
    <row r="31" ht="15.75" customHeight="1">
      <c r="A31" s="41" t="s">
        <v>398</v>
      </c>
      <c r="B31" s="52" t="s">
        <v>399</v>
      </c>
      <c r="C31" s="53">
        <v>0.0</v>
      </c>
      <c r="D31" s="53">
        <v>0.0</v>
      </c>
      <c r="E31" s="53">
        <v>3101.0</v>
      </c>
      <c r="F31" s="53">
        <v>-3101.0</v>
      </c>
      <c r="G31" s="53">
        <v>0.0</v>
      </c>
      <c r="H31" s="53">
        <v>-5164.0</v>
      </c>
      <c r="I31" s="53">
        <v>-2480.0</v>
      </c>
      <c r="J31" s="53">
        <v>-1454.0</v>
      </c>
      <c r="K31" s="53">
        <v>0.0</v>
      </c>
      <c r="L31" s="53">
        <v>0.0</v>
      </c>
      <c r="M31" s="53">
        <v>-45.0</v>
      </c>
      <c r="N31" s="53">
        <v>-62.0</v>
      </c>
      <c r="O31" s="53">
        <v>-371.0</v>
      </c>
      <c r="P31" s="53">
        <v>39.0</v>
      </c>
      <c r="Q31" s="53">
        <v>-125.0</v>
      </c>
      <c r="R31" s="53">
        <v>-350.0</v>
      </c>
      <c r="S31" s="53">
        <v>-1243.0</v>
      </c>
      <c r="T31" s="53">
        <v>-9.6400000000001</v>
      </c>
      <c r="U31" s="53">
        <v>0.0</v>
      </c>
      <c r="V31" s="53"/>
      <c r="W31" s="53"/>
      <c r="X31" s="53"/>
      <c r="Y31" s="53"/>
      <c r="Z31" s="53"/>
    </row>
    <row r="32" ht="15.75" customHeight="1">
      <c r="A32" s="56" t="s">
        <v>400</v>
      </c>
      <c r="B32" s="57" t="s">
        <v>401</v>
      </c>
      <c r="C32" s="58">
        <f t="shared" ref="C32:U32" si="2">SUM(C28,C30:C31)</f>
        <v>30068</v>
      </c>
      <c r="D32" s="58">
        <f t="shared" si="2"/>
        <v>36108</v>
      </c>
      <c r="E32" s="58">
        <f t="shared" si="2"/>
        <v>-38209</v>
      </c>
      <c r="F32" s="58">
        <f t="shared" si="2"/>
        <v>-177944</v>
      </c>
      <c r="G32" s="58">
        <f t="shared" si="2"/>
        <v>-116633</v>
      </c>
      <c r="H32" s="58">
        <f t="shared" si="2"/>
        <v>110633</v>
      </c>
      <c r="I32" s="58">
        <f t="shared" si="2"/>
        <v>100810</v>
      </c>
      <c r="J32" s="58">
        <f t="shared" si="2"/>
        <v>-16144</v>
      </c>
      <c r="K32" s="58">
        <f t="shared" si="2"/>
        <v>-18610</v>
      </c>
      <c r="L32" s="58">
        <f t="shared" si="2"/>
        <v>192820</v>
      </c>
      <c r="M32" s="58">
        <f t="shared" si="2"/>
        <v>-292511</v>
      </c>
      <c r="N32" s="58">
        <f t="shared" si="2"/>
        <v>155927</v>
      </c>
      <c r="O32" s="58">
        <f t="shared" si="2"/>
        <v>-211890</v>
      </c>
      <c r="P32" s="58">
        <f t="shared" si="2"/>
        <v>500561</v>
      </c>
      <c r="Q32" s="58">
        <f t="shared" si="2"/>
        <v>-196485</v>
      </c>
      <c r="R32" s="58">
        <f t="shared" si="2"/>
        <v>-83741</v>
      </c>
      <c r="S32" s="58">
        <f t="shared" si="2"/>
        <v>-45142</v>
      </c>
      <c r="T32" s="58">
        <f t="shared" si="2"/>
        <v>-108558.86</v>
      </c>
      <c r="U32" s="58">
        <f t="shared" si="2"/>
        <v>317607.08</v>
      </c>
      <c r="V32" s="58"/>
      <c r="W32" s="58"/>
      <c r="X32" s="58"/>
      <c r="Y32" s="58"/>
      <c r="Z32" s="58"/>
    </row>
    <row r="33" ht="15.75" customHeight="1">
      <c r="A33" s="56"/>
      <c r="B33" s="57"/>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5.75" customHeight="1">
      <c r="A34" s="86" t="s">
        <v>402</v>
      </c>
      <c r="B34" s="87" t="s">
        <v>403</v>
      </c>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5.75" customHeight="1">
      <c r="A35" s="41" t="s">
        <v>407</v>
      </c>
      <c r="B35" s="52" t="s">
        <v>408</v>
      </c>
      <c r="C35" s="53">
        <v>-88.0</v>
      </c>
      <c r="D35" s="53">
        <v>-97.0</v>
      </c>
      <c r="E35" s="53">
        <v>-64.0</v>
      </c>
      <c r="F35" s="53">
        <v>-944.0</v>
      </c>
      <c r="G35" s="53">
        <v>-91.0</v>
      </c>
      <c r="H35" s="53">
        <v>-109.0</v>
      </c>
      <c r="I35" s="53">
        <v>-1033.0</v>
      </c>
      <c r="J35" s="53">
        <v>-292.0</v>
      </c>
      <c r="K35" s="53">
        <v>-97.0</v>
      </c>
      <c r="L35" s="53">
        <v>-268.0</v>
      </c>
      <c r="M35" s="53">
        <v>-582.0</v>
      </c>
      <c r="N35" s="53">
        <v>-1030.0</v>
      </c>
      <c r="O35" s="53">
        <v>-273.0</v>
      </c>
      <c r="P35" s="53">
        <v>-149.0</v>
      </c>
      <c r="Q35" s="53">
        <v>-37.0</v>
      </c>
      <c r="R35" s="53">
        <v>-92.0</v>
      </c>
      <c r="S35" s="53">
        <v>-155.0</v>
      </c>
      <c r="T35" s="53">
        <v>-117.79000000000002</v>
      </c>
      <c r="U35" s="53">
        <v>-238.209999999999</v>
      </c>
      <c r="V35" s="53"/>
      <c r="W35" s="53"/>
      <c r="X35" s="53"/>
      <c r="Y35" s="53"/>
      <c r="Z35" s="53"/>
    </row>
    <row r="36" ht="15.75" customHeight="1">
      <c r="A36" s="41" t="s">
        <v>409</v>
      </c>
      <c r="B36" s="52" t="s">
        <v>410</v>
      </c>
      <c r="C36" s="53">
        <v>-52.0</v>
      </c>
      <c r="D36" s="53">
        <v>-36.0</v>
      </c>
      <c r="E36" s="53">
        <v>-109.0</v>
      </c>
      <c r="F36" s="53">
        <v>1.0</v>
      </c>
      <c r="G36" s="53">
        <v>-102.0</v>
      </c>
      <c r="H36" s="53">
        <v>-62.0</v>
      </c>
      <c r="I36" s="53">
        <v>-791.0</v>
      </c>
      <c r="J36" s="53">
        <v>-2241.0</v>
      </c>
      <c r="K36" s="53">
        <v>-21.0</v>
      </c>
      <c r="L36" s="53">
        <v>-158.0</v>
      </c>
      <c r="M36" s="53">
        <v>-472.0</v>
      </c>
      <c r="N36" s="53">
        <v>-110.0</v>
      </c>
      <c r="O36" s="53">
        <v>-1143.0</v>
      </c>
      <c r="P36" s="53">
        <v>-1969.0</v>
      </c>
      <c r="Q36" s="53">
        <v>-79.0</v>
      </c>
      <c r="R36" s="53">
        <v>0.0</v>
      </c>
      <c r="S36" s="53">
        <v>-189.0</v>
      </c>
      <c r="T36" s="53">
        <v>-239.06</v>
      </c>
      <c r="U36" s="53">
        <v>-171.94</v>
      </c>
      <c r="V36" s="53"/>
      <c r="W36" s="53"/>
      <c r="X36" s="53"/>
      <c r="Y36" s="53"/>
      <c r="Z36" s="53"/>
    </row>
    <row r="37" ht="15.75" customHeight="1">
      <c r="A37" s="41" t="s">
        <v>411</v>
      </c>
      <c r="B37" s="52" t="s">
        <v>412</v>
      </c>
      <c r="C37" s="53">
        <v>0.0</v>
      </c>
      <c r="D37" s="53">
        <v>0.0</v>
      </c>
      <c r="E37" s="53">
        <v>0.0</v>
      </c>
      <c r="F37" s="53">
        <v>0.0</v>
      </c>
      <c r="G37" s="53">
        <v>0.0</v>
      </c>
      <c r="H37" s="53">
        <v>0.0</v>
      </c>
      <c r="I37" s="53">
        <v>0.0</v>
      </c>
      <c r="J37" s="53">
        <v>0.0</v>
      </c>
      <c r="K37" s="53">
        <v>0.0</v>
      </c>
      <c r="L37" s="53">
        <v>0.0</v>
      </c>
      <c r="M37" s="53">
        <v>0.0</v>
      </c>
      <c r="N37" s="53">
        <v>0.0</v>
      </c>
      <c r="O37" s="53">
        <v>0.0</v>
      </c>
      <c r="P37" s="53">
        <v>0.0</v>
      </c>
      <c r="Q37" s="53">
        <v>0.0</v>
      </c>
      <c r="R37" s="53">
        <v>0.0</v>
      </c>
      <c r="S37" s="53">
        <v>0.0</v>
      </c>
      <c r="T37" s="53">
        <v>0.0</v>
      </c>
      <c r="U37" s="53">
        <v>0.0</v>
      </c>
      <c r="V37" s="53"/>
      <c r="W37" s="53"/>
      <c r="X37" s="53"/>
      <c r="Y37" s="53"/>
      <c r="Z37" s="53"/>
    </row>
    <row r="38" ht="15.75" customHeight="1">
      <c r="A38" s="41" t="s">
        <v>413</v>
      </c>
      <c r="B38" s="52" t="s">
        <v>414</v>
      </c>
      <c r="C38" s="53">
        <v>0.0</v>
      </c>
      <c r="D38" s="53">
        <v>0.0</v>
      </c>
      <c r="E38" s="53">
        <v>0.0</v>
      </c>
      <c r="F38" s="53">
        <v>0.0</v>
      </c>
      <c r="G38" s="53">
        <v>0.0</v>
      </c>
      <c r="H38" s="53">
        <v>0.0</v>
      </c>
      <c r="I38" s="53">
        <v>0.0</v>
      </c>
      <c r="J38" s="53">
        <v>0.0</v>
      </c>
      <c r="K38" s="53">
        <v>0.0</v>
      </c>
      <c r="L38" s="53">
        <v>0.0</v>
      </c>
      <c r="M38" s="53">
        <v>0.0</v>
      </c>
      <c r="N38" s="53">
        <v>0.0</v>
      </c>
      <c r="O38" s="53">
        <v>0.0</v>
      </c>
      <c r="P38" s="53">
        <v>0.0</v>
      </c>
      <c r="Q38" s="53">
        <v>0.0</v>
      </c>
      <c r="R38" s="53">
        <v>0.0</v>
      </c>
      <c r="S38" s="53">
        <v>0.0</v>
      </c>
      <c r="T38" s="53">
        <v>0.0</v>
      </c>
      <c r="U38" s="53">
        <v>0.0</v>
      </c>
      <c r="V38" s="53"/>
      <c r="W38" s="53"/>
      <c r="X38" s="53"/>
      <c r="Y38" s="53"/>
      <c r="Z38" s="53"/>
    </row>
    <row r="39" ht="15.75" customHeight="1">
      <c r="A39" s="41" t="s">
        <v>415</v>
      </c>
      <c r="B39" s="52" t="s">
        <v>416</v>
      </c>
      <c r="C39" s="53">
        <v>0.0</v>
      </c>
      <c r="D39" s="53">
        <v>0.0</v>
      </c>
      <c r="E39" s="53">
        <v>0.0</v>
      </c>
      <c r="F39" s="53">
        <v>0.0</v>
      </c>
      <c r="G39" s="53">
        <v>0.0</v>
      </c>
      <c r="H39" s="53">
        <v>0.0</v>
      </c>
      <c r="I39" s="53">
        <v>0.0</v>
      </c>
      <c r="J39" s="53">
        <v>0.0</v>
      </c>
      <c r="K39" s="53">
        <v>0.0</v>
      </c>
      <c r="L39" s="53">
        <v>0.0</v>
      </c>
      <c r="M39" s="53">
        <v>0.0</v>
      </c>
      <c r="N39" s="53">
        <v>0.0</v>
      </c>
      <c r="O39" s="53">
        <v>0.0</v>
      </c>
      <c r="P39" s="53">
        <v>0.0</v>
      </c>
      <c r="Q39" s="53">
        <v>0.0</v>
      </c>
      <c r="R39" s="53">
        <v>0.0</v>
      </c>
      <c r="S39" s="53">
        <v>0.0</v>
      </c>
      <c r="T39" s="53">
        <v>0.0</v>
      </c>
      <c r="U39" s="53">
        <v>0.0</v>
      </c>
      <c r="V39" s="53"/>
      <c r="W39" s="53"/>
      <c r="X39" s="53"/>
      <c r="Y39" s="53"/>
      <c r="Z39" s="53"/>
    </row>
    <row r="40" ht="15.75" customHeight="1">
      <c r="A40" s="41" t="s">
        <v>417</v>
      </c>
      <c r="B40" s="52" t="s">
        <v>418</v>
      </c>
      <c r="C40" s="53">
        <v>0.0</v>
      </c>
      <c r="D40" s="53">
        <v>0.0</v>
      </c>
      <c r="E40" s="53">
        <v>0.0</v>
      </c>
      <c r="F40" s="53">
        <v>0.0</v>
      </c>
      <c r="G40" s="53">
        <v>0.0</v>
      </c>
      <c r="H40" s="53">
        <v>0.0</v>
      </c>
      <c r="I40" s="53">
        <v>0.0</v>
      </c>
      <c r="J40" s="53">
        <v>0.0</v>
      </c>
      <c r="K40" s="53">
        <v>0.0</v>
      </c>
      <c r="L40" s="53">
        <v>0.0</v>
      </c>
      <c r="M40" s="53">
        <v>0.0</v>
      </c>
      <c r="N40" s="53">
        <v>0.0</v>
      </c>
      <c r="O40" s="53">
        <v>0.0</v>
      </c>
      <c r="P40" s="53">
        <v>0.0</v>
      </c>
      <c r="Q40" s="53">
        <v>0.0</v>
      </c>
      <c r="R40" s="53">
        <v>0.0</v>
      </c>
      <c r="S40" s="53">
        <v>0.0</v>
      </c>
      <c r="T40" s="53">
        <v>0.0</v>
      </c>
      <c r="U40" s="53">
        <v>0.0</v>
      </c>
      <c r="V40" s="53"/>
      <c r="W40" s="53"/>
      <c r="X40" s="53"/>
      <c r="Y40" s="53"/>
      <c r="Z40" s="53"/>
    </row>
    <row r="41" ht="15.75" customHeight="1">
      <c r="A41" s="41" t="s">
        <v>419</v>
      </c>
      <c r="B41" s="52" t="s">
        <v>420</v>
      </c>
      <c r="C41" s="53">
        <v>0.0</v>
      </c>
      <c r="D41" s="53">
        <v>121.0</v>
      </c>
      <c r="E41" s="53">
        <v>0.0</v>
      </c>
      <c r="F41" s="53">
        <v>0.0</v>
      </c>
      <c r="G41" s="53">
        <v>0.0</v>
      </c>
      <c r="H41" s="53">
        <v>0.0</v>
      </c>
      <c r="I41" s="53">
        <v>8.0</v>
      </c>
      <c r="J41" s="53">
        <v>169.0</v>
      </c>
      <c r="K41" s="53">
        <v>0.0</v>
      </c>
      <c r="L41" s="53">
        <v>207.0</v>
      </c>
      <c r="M41" s="53">
        <v>0.0</v>
      </c>
      <c r="N41" s="53">
        <v>77.0</v>
      </c>
      <c r="O41" s="53">
        <v>0.0</v>
      </c>
      <c r="P41" s="53">
        <v>0.0</v>
      </c>
      <c r="Q41" s="53">
        <v>360.0</v>
      </c>
      <c r="R41" s="53">
        <v>-360.0</v>
      </c>
      <c r="S41" s="53">
        <v>0.0</v>
      </c>
      <c r="T41" s="53">
        <v>0.0</v>
      </c>
      <c r="U41" s="53">
        <v>0.0</v>
      </c>
      <c r="V41" s="53"/>
      <c r="W41" s="53"/>
      <c r="X41" s="53"/>
      <c r="Y41" s="53"/>
      <c r="Z41" s="53"/>
    </row>
    <row r="42" ht="15.75" customHeight="1">
      <c r="A42" s="41" t="s">
        <v>503</v>
      </c>
      <c r="B42" s="52" t="s">
        <v>504</v>
      </c>
      <c r="C42" s="53">
        <v>45593.0</v>
      </c>
      <c r="D42" s="53">
        <v>-133270.0</v>
      </c>
      <c r="E42" s="53">
        <v>-194326.0</v>
      </c>
      <c r="F42" s="53">
        <v>88237.0</v>
      </c>
      <c r="G42" s="53">
        <v>251483.0</v>
      </c>
      <c r="H42" s="53">
        <v>-191620.0</v>
      </c>
      <c r="I42" s="53">
        <v>-36378.0</v>
      </c>
      <c r="J42" s="53">
        <v>-59574.0</v>
      </c>
      <c r="K42" s="53">
        <v>285040.0</v>
      </c>
      <c r="L42" s="53">
        <v>-445842.0</v>
      </c>
      <c r="M42" s="53">
        <v>508015.0</v>
      </c>
      <c r="N42" s="53">
        <v>-129154.0</v>
      </c>
      <c r="O42" s="53">
        <v>150899.0</v>
      </c>
      <c r="P42" s="53">
        <v>-235178.0</v>
      </c>
      <c r="Q42" s="53">
        <v>83229.0</v>
      </c>
      <c r="R42" s="53">
        <v>151160.0</v>
      </c>
      <c r="S42" s="53">
        <v>-19579.0</v>
      </c>
      <c r="T42" s="53">
        <v>52301.36</v>
      </c>
      <c r="U42" s="53">
        <v>-128611.36</v>
      </c>
      <c r="V42" s="53"/>
      <c r="W42" s="53"/>
      <c r="X42" s="53"/>
      <c r="Y42" s="53"/>
      <c r="Z42" s="53"/>
    </row>
    <row r="43" ht="15.75" customHeight="1">
      <c r="A43" s="41" t="s">
        <v>505</v>
      </c>
      <c r="B43" s="52" t="s">
        <v>506</v>
      </c>
      <c r="C43" s="53">
        <v>0.0</v>
      </c>
      <c r="D43" s="53">
        <v>0.0</v>
      </c>
      <c r="E43" s="53">
        <v>0.0</v>
      </c>
      <c r="F43" s="53">
        <v>0.0</v>
      </c>
      <c r="G43" s="53">
        <v>0.0</v>
      </c>
      <c r="H43" s="53">
        <v>0.0</v>
      </c>
      <c r="I43" s="53">
        <v>0.0</v>
      </c>
      <c r="J43" s="53">
        <v>0.0</v>
      </c>
      <c r="K43" s="53">
        <v>0.0</v>
      </c>
      <c r="L43" s="53">
        <v>0.0</v>
      </c>
      <c r="M43" s="53">
        <v>77.0</v>
      </c>
      <c r="N43" s="53">
        <v>0.0</v>
      </c>
      <c r="O43" s="53">
        <v>0.0</v>
      </c>
      <c r="P43" s="53">
        <v>0.0</v>
      </c>
      <c r="Q43" s="53">
        <v>0.0</v>
      </c>
      <c r="R43" s="53">
        <v>0.0</v>
      </c>
      <c r="S43" s="53">
        <v>0.0</v>
      </c>
      <c r="T43" s="53">
        <v>0.0</v>
      </c>
      <c r="U43" s="53">
        <v>0.0</v>
      </c>
      <c r="V43" s="53"/>
      <c r="W43" s="53"/>
      <c r="X43" s="53"/>
      <c r="Y43" s="53"/>
      <c r="Z43" s="53"/>
    </row>
    <row r="44" ht="15.75" customHeight="1">
      <c r="A44" s="56" t="s">
        <v>402</v>
      </c>
      <c r="B44" s="57" t="s">
        <v>403</v>
      </c>
      <c r="C44" s="58">
        <f t="shared" ref="C44:U44" si="3">SUM(C35:C43)</f>
        <v>45453</v>
      </c>
      <c r="D44" s="58">
        <f t="shared" si="3"/>
        <v>-133282</v>
      </c>
      <c r="E44" s="58">
        <f t="shared" si="3"/>
        <v>-194499</v>
      </c>
      <c r="F44" s="58">
        <f t="shared" si="3"/>
        <v>87294</v>
      </c>
      <c r="G44" s="58">
        <f t="shared" si="3"/>
        <v>251290</v>
      </c>
      <c r="H44" s="58">
        <f t="shared" si="3"/>
        <v>-191791</v>
      </c>
      <c r="I44" s="58">
        <f t="shared" si="3"/>
        <v>-38194</v>
      </c>
      <c r="J44" s="58">
        <f t="shared" si="3"/>
        <v>-61938</v>
      </c>
      <c r="K44" s="58">
        <f t="shared" si="3"/>
        <v>284922</v>
      </c>
      <c r="L44" s="58">
        <f t="shared" si="3"/>
        <v>-446061</v>
      </c>
      <c r="M44" s="58">
        <f t="shared" si="3"/>
        <v>507038</v>
      </c>
      <c r="N44" s="58">
        <f t="shared" si="3"/>
        <v>-130217</v>
      </c>
      <c r="O44" s="58">
        <f t="shared" si="3"/>
        <v>149483</v>
      </c>
      <c r="P44" s="58">
        <f t="shared" si="3"/>
        <v>-237296</v>
      </c>
      <c r="Q44" s="58">
        <f t="shared" si="3"/>
        <v>83473</v>
      </c>
      <c r="R44" s="58">
        <f t="shared" si="3"/>
        <v>150708</v>
      </c>
      <c r="S44" s="58">
        <f t="shared" si="3"/>
        <v>-19923</v>
      </c>
      <c r="T44" s="58">
        <f t="shared" si="3"/>
        <v>51944.51</v>
      </c>
      <c r="U44" s="58">
        <f t="shared" si="3"/>
        <v>-129021.51</v>
      </c>
      <c r="V44" s="58"/>
      <c r="W44" s="58"/>
      <c r="X44" s="58"/>
      <c r="Y44" s="58"/>
      <c r="Z44" s="58"/>
    </row>
    <row r="45" ht="15.75" customHeight="1">
      <c r="A45" s="56"/>
      <c r="B45" s="57"/>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5.75" customHeight="1">
      <c r="A46" s="86" t="s">
        <v>427</v>
      </c>
      <c r="B46" s="87" t="s">
        <v>428</v>
      </c>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5.75" customHeight="1">
      <c r="A47" s="41" t="s">
        <v>429</v>
      </c>
      <c r="B47" s="52" t="s">
        <v>430</v>
      </c>
      <c r="C47" s="53">
        <v>0.0</v>
      </c>
      <c r="D47" s="53">
        <v>0.0</v>
      </c>
      <c r="E47" s="53">
        <v>0.0</v>
      </c>
      <c r="F47" s="53">
        <v>0.0</v>
      </c>
      <c r="G47" s="53">
        <v>-100000.0</v>
      </c>
      <c r="H47" s="53">
        <v>0.0</v>
      </c>
      <c r="I47" s="53">
        <v>0.0</v>
      </c>
      <c r="J47" s="53">
        <v>0.0</v>
      </c>
      <c r="K47" s="53">
        <v>0.0</v>
      </c>
      <c r="L47" s="53">
        <v>0.0</v>
      </c>
      <c r="M47" s="53">
        <v>0.0</v>
      </c>
      <c r="N47" s="53">
        <v>-600000.0</v>
      </c>
      <c r="O47" s="53">
        <v>0.0</v>
      </c>
      <c r="P47" s="53">
        <v>-100390.0</v>
      </c>
      <c r="Q47" s="53">
        <v>-3321.0</v>
      </c>
      <c r="R47" s="53">
        <v>-235709.0</v>
      </c>
      <c r="S47" s="53">
        <v>-353737.0</v>
      </c>
      <c r="T47" s="53">
        <v>-205879.0</v>
      </c>
      <c r="U47" s="53">
        <v>-427262.0</v>
      </c>
      <c r="V47" s="53"/>
      <c r="W47" s="53"/>
      <c r="X47" s="53"/>
      <c r="Y47" s="53"/>
      <c r="Z47" s="53"/>
    </row>
    <row r="48" ht="15.75" customHeight="1">
      <c r="A48" s="41" t="s">
        <v>431</v>
      </c>
      <c r="B48" s="52" t="s">
        <v>432</v>
      </c>
      <c r="C48" s="53">
        <v>0.0</v>
      </c>
      <c r="D48" s="53">
        <v>0.0</v>
      </c>
      <c r="E48" s="53">
        <v>0.0</v>
      </c>
      <c r="F48" s="53">
        <v>0.0</v>
      </c>
      <c r="G48" s="53">
        <v>0.0</v>
      </c>
      <c r="H48" s="53">
        <v>0.0</v>
      </c>
      <c r="I48" s="53">
        <v>0.0</v>
      </c>
      <c r="J48" s="53">
        <v>0.0</v>
      </c>
      <c r="K48" s="53">
        <v>0.0</v>
      </c>
      <c r="L48" s="53">
        <v>0.0</v>
      </c>
      <c r="M48" s="53">
        <v>0.0</v>
      </c>
      <c r="N48" s="53">
        <v>0.0</v>
      </c>
      <c r="O48" s="53">
        <v>0.0</v>
      </c>
      <c r="P48" s="53">
        <v>0.0</v>
      </c>
      <c r="Q48" s="53">
        <v>0.0</v>
      </c>
      <c r="R48" s="53">
        <v>0.0</v>
      </c>
      <c r="S48" s="53">
        <v>0.0</v>
      </c>
      <c r="T48" s="53">
        <v>0.0</v>
      </c>
      <c r="U48" s="53">
        <v>0.0</v>
      </c>
      <c r="V48" s="53"/>
      <c r="W48" s="53"/>
      <c r="X48" s="53"/>
      <c r="Y48" s="53"/>
      <c r="Z48" s="53"/>
    </row>
    <row r="49" ht="15.75" customHeight="1">
      <c r="A49" s="41" t="s">
        <v>433</v>
      </c>
      <c r="B49" s="52" t="s">
        <v>434</v>
      </c>
      <c r="C49" s="53">
        <v>-245.0</v>
      </c>
      <c r="D49" s="53">
        <v>-291.0</v>
      </c>
      <c r="E49" s="53">
        <v>-300.0</v>
      </c>
      <c r="F49" s="53">
        <v>-297.0</v>
      </c>
      <c r="G49" s="53">
        <v>-288.0</v>
      </c>
      <c r="H49" s="53">
        <v>-288.0</v>
      </c>
      <c r="I49" s="53">
        <v>-289.0</v>
      </c>
      <c r="J49" s="53">
        <v>-305.0</v>
      </c>
      <c r="K49" s="53">
        <v>-283.0</v>
      </c>
      <c r="L49" s="53">
        <v>-288.0</v>
      </c>
      <c r="M49" s="53">
        <v>-399.0</v>
      </c>
      <c r="N49" s="53">
        <v>-415.0</v>
      </c>
      <c r="O49" s="53">
        <v>-424.0</v>
      </c>
      <c r="P49" s="53">
        <v>-529.0</v>
      </c>
      <c r="Q49" s="53">
        <v>-401.0</v>
      </c>
      <c r="R49" s="53">
        <v>-1755.0</v>
      </c>
      <c r="S49" s="53">
        <v>-595.0</v>
      </c>
      <c r="T49" s="53">
        <v>-594.6199999999999</v>
      </c>
      <c r="U49" s="53">
        <v>-538.38</v>
      </c>
      <c r="V49" s="53"/>
      <c r="W49" s="53"/>
      <c r="X49" s="53"/>
      <c r="Y49" s="53"/>
      <c r="Z49" s="53"/>
    </row>
    <row r="50" ht="15.75" customHeight="1">
      <c r="A50" s="41" t="s">
        <v>435</v>
      </c>
      <c r="B50" s="52" t="s">
        <v>436</v>
      </c>
      <c r="C50" s="53">
        <v>0.0</v>
      </c>
      <c r="D50" s="53">
        <v>0.0</v>
      </c>
      <c r="E50" s="53">
        <v>0.0</v>
      </c>
      <c r="F50" s="53">
        <v>0.0</v>
      </c>
      <c r="G50" s="53">
        <v>0.0</v>
      </c>
      <c r="H50" s="53">
        <v>0.0</v>
      </c>
      <c r="I50" s="53">
        <v>0.0</v>
      </c>
      <c r="J50" s="53">
        <v>0.0</v>
      </c>
      <c r="K50" s="53">
        <v>0.0</v>
      </c>
      <c r="L50" s="53">
        <v>250000.0</v>
      </c>
      <c r="M50" s="53">
        <v>350000.0</v>
      </c>
      <c r="N50" s="53">
        <v>0.0</v>
      </c>
      <c r="O50" s="53">
        <v>100000.0</v>
      </c>
      <c r="P50" s="53">
        <v>7800.0</v>
      </c>
      <c r="Q50" s="53">
        <v>244000.0</v>
      </c>
      <c r="R50" s="53">
        <v>353800.0</v>
      </c>
      <c r="S50" s="53">
        <v>215340.0</v>
      </c>
      <c r="T50" s="53">
        <v>275500.0</v>
      </c>
      <c r="U50" s="53">
        <v>353190.0</v>
      </c>
      <c r="V50" s="53"/>
      <c r="W50" s="53"/>
      <c r="X50" s="53"/>
      <c r="Y50" s="53"/>
      <c r="Z50" s="53"/>
    </row>
    <row r="51" ht="15.75" customHeight="1">
      <c r="A51" s="41" t="s">
        <v>507</v>
      </c>
      <c r="B51" s="52" t="s">
        <v>508</v>
      </c>
      <c r="C51" s="53">
        <v>-200450.0</v>
      </c>
      <c r="D51" s="53">
        <v>186688.0</v>
      </c>
      <c r="E51" s="53">
        <v>170528.0</v>
      </c>
      <c r="F51" s="53">
        <v>111399.0</v>
      </c>
      <c r="G51" s="53">
        <v>-28096.0</v>
      </c>
      <c r="H51" s="53">
        <v>79020.0</v>
      </c>
      <c r="I51" s="53">
        <v>21903.0</v>
      </c>
      <c r="J51" s="53">
        <v>-12525.0</v>
      </c>
      <c r="K51" s="53">
        <v>-307723.0</v>
      </c>
      <c r="L51" s="53">
        <v>12303.0</v>
      </c>
      <c r="M51" s="53">
        <v>-581019.0</v>
      </c>
      <c r="N51" s="53">
        <v>466307.0</v>
      </c>
      <c r="O51" s="53">
        <v>-42049.0</v>
      </c>
      <c r="P51" s="53">
        <v>-178446.0</v>
      </c>
      <c r="Q51" s="53">
        <v>-112996.0</v>
      </c>
      <c r="R51" s="53">
        <v>-124557.0</v>
      </c>
      <c r="S51" s="53">
        <v>54236.0</v>
      </c>
      <c r="T51" s="53">
        <v>46568.899999999994</v>
      </c>
      <c r="U51" s="53">
        <v>-131536.9</v>
      </c>
      <c r="V51" s="53"/>
      <c r="W51" s="53"/>
      <c r="X51" s="53"/>
      <c r="Y51" s="53"/>
      <c r="Z51" s="53"/>
    </row>
    <row r="52" ht="15.75" customHeight="1">
      <c r="A52" s="41" t="s">
        <v>437</v>
      </c>
      <c r="B52" s="52" t="s">
        <v>438</v>
      </c>
      <c r="C52" s="53">
        <v>3431.0</v>
      </c>
      <c r="D52" s="53">
        <v>5162.0</v>
      </c>
      <c r="E52" s="53">
        <v>7573.0</v>
      </c>
      <c r="F52" s="53">
        <v>9209.0</v>
      </c>
      <c r="G52" s="53">
        <v>7201.0</v>
      </c>
      <c r="H52" s="53">
        <v>5926.0</v>
      </c>
      <c r="I52" s="53">
        <v>18252.0</v>
      </c>
      <c r="J52" s="53">
        <v>2403.0</v>
      </c>
      <c r="K52" s="53">
        <v>5012.0</v>
      </c>
      <c r="L52" s="53">
        <v>-235.0</v>
      </c>
      <c r="M52" s="53">
        <v>199923.0</v>
      </c>
      <c r="N52" s="53">
        <v>0.0</v>
      </c>
      <c r="O52" s="53">
        <v>0.0</v>
      </c>
      <c r="P52" s="53">
        <v>0.0</v>
      </c>
      <c r="Q52" s="53">
        <v>0.0</v>
      </c>
      <c r="R52" s="53">
        <v>0.0</v>
      </c>
      <c r="S52" s="53">
        <v>0.0</v>
      </c>
      <c r="T52" s="53">
        <v>0.0</v>
      </c>
      <c r="U52" s="53">
        <v>0.0</v>
      </c>
      <c r="V52" s="53"/>
      <c r="W52" s="53"/>
      <c r="X52" s="53"/>
      <c r="Y52" s="53"/>
      <c r="Z52" s="53"/>
    </row>
    <row r="53" ht="15.75" customHeight="1">
      <c r="A53" s="41" t="s">
        <v>509</v>
      </c>
      <c r="B53" s="52" t="s">
        <v>510</v>
      </c>
      <c r="C53" s="53">
        <v>0.0</v>
      </c>
      <c r="D53" s="53">
        <v>0.0</v>
      </c>
      <c r="E53" s="53">
        <v>0.0</v>
      </c>
      <c r="F53" s="53">
        <v>0.0</v>
      </c>
      <c r="G53" s="53">
        <v>0.0</v>
      </c>
      <c r="H53" s="53">
        <v>0.0</v>
      </c>
      <c r="I53" s="53">
        <v>0.0</v>
      </c>
      <c r="J53" s="53">
        <v>0.0</v>
      </c>
      <c r="K53" s="53">
        <v>0.0</v>
      </c>
      <c r="L53" s="53">
        <v>0.0</v>
      </c>
      <c r="M53" s="53">
        <v>0.0</v>
      </c>
      <c r="N53" s="53">
        <v>0.0</v>
      </c>
      <c r="O53" s="53">
        <v>0.0</v>
      </c>
      <c r="P53" s="53">
        <v>0.0</v>
      </c>
      <c r="Q53" s="53">
        <v>0.0</v>
      </c>
      <c r="R53" s="53">
        <v>0.0</v>
      </c>
      <c r="S53" s="53">
        <v>0.0</v>
      </c>
      <c r="T53" s="53">
        <v>0.0</v>
      </c>
      <c r="U53" s="53">
        <v>0.0</v>
      </c>
      <c r="V53" s="53"/>
      <c r="W53" s="53"/>
      <c r="X53" s="53"/>
      <c r="Y53" s="53"/>
      <c r="Z53" s="53"/>
    </row>
    <row r="54" ht="15.75" customHeight="1">
      <c r="A54" s="41" t="s">
        <v>304</v>
      </c>
      <c r="B54" s="52" t="s">
        <v>443</v>
      </c>
      <c r="C54" s="53">
        <v>0.0</v>
      </c>
      <c r="D54" s="53">
        <v>0.0</v>
      </c>
      <c r="E54" s="53">
        <v>0.0</v>
      </c>
      <c r="F54" s="53">
        <v>0.0</v>
      </c>
      <c r="G54" s="53">
        <v>0.0</v>
      </c>
      <c r="H54" s="53">
        <v>0.0</v>
      </c>
      <c r="I54" s="53">
        <v>444.0</v>
      </c>
      <c r="J54" s="53">
        <v>-444.0</v>
      </c>
      <c r="K54" s="53">
        <v>230.0</v>
      </c>
      <c r="L54" s="53">
        <v>6047.0</v>
      </c>
      <c r="M54" s="53">
        <v>-6277.0</v>
      </c>
      <c r="N54" s="53">
        <v>0.0</v>
      </c>
      <c r="O54" s="53">
        <v>0.0</v>
      </c>
      <c r="P54" s="53">
        <v>0.0</v>
      </c>
      <c r="Q54" s="53">
        <v>0.0</v>
      </c>
      <c r="R54" s="53">
        <v>0.0</v>
      </c>
      <c r="S54" s="53">
        <v>0.0</v>
      </c>
      <c r="T54" s="53">
        <v>0.0</v>
      </c>
      <c r="U54" s="53">
        <v>0.0</v>
      </c>
      <c r="V54" s="53"/>
      <c r="W54" s="53"/>
      <c r="X54" s="53"/>
      <c r="Y54" s="53"/>
      <c r="Z54" s="53"/>
    </row>
    <row r="55" ht="15.75" customHeight="1">
      <c r="A55" s="41" t="s">
        <v>444</v>
      </c>
      <c r="B55" s="52" t="s">
        <v>445</v>
      </c>
      <c r="C55" s="53">
        <v>-746.0</v>
      </c>
      <c r="D55" s="53">
        <v>-1373.0</v>
      </c>
      <c r="E55" s="53">
        <v>0.0</v>
      </c>
      <c r="F55" s="53">
        <v>0.0</v>
      </c>
      <c r="G55" s="53">
        <v>0.0</v>
      </c>
      <c r="H55" s="53">
        <v>0.0</v>
      </c>
      <c r="I55" s="53">
        <v>-1500.0</v>
      </c>
      <c r="J55" s="53">
        <v>0.0</v>
      </c>
      <c r="K55" s="53">
        <v>0.0</v>
      </c>
      <c r="L55" s="53">
        <v>0.0</v>
      </c>
      <c r="M55" s="53">
        <v>-12095.0</v>
      </c>
      <c r="N55" s="53">
        <v>0.0</v>
      </c>
      <c r="O55" s="53">
        <v>0.0</v>
      </c>
      <c r="P55" s="53">
        <v>0.0</v>
      </c>
      <c r="Q55" s="53">
        <v>0.0</v>
      </c>
      <c r="R55" s="53">
        <v>0.0</v>
      </c>
      <c r="S55" s="53">
        <v>0.0</v>
      </c>
      <c r="T55" s="53">
        <v>0.0</v>
      </c>
      <c r="U55" s="53">
        <v>-15598.0</v>
      </c>
      <c r="V55" s="53"/>
      <c r="W55" s="53"/>
      <c r="X55" s="53"/>
      <c r="Y55" s="53"/>
      <c r="Z55" s="53"/>
    </row>
    <row r="56" ht="15.75" customHeight="1">
      <c r="A56" s="41" t="s">
        <v>446</v>
      </c>
      <c r="B56" s="52" t="s">
        <v>447</v>
      </c>
      <c r="C56" s="53">
        <v>0.0</v>
      </c>
      <c r="D56" s="53">
        <v>0.0</v>
      </c>
      <c r="E56" s="53">
        <v>0.0</v>
      </c>
      <c r="F56" s="53">
        <v>0.0</v>
      </c>
      <c r="G56" s="53">
        <v>0.0</v>
      </c>
      <c r="H56" s="53">
        <v>0.0</v>
      </c>
      <c r="I56" s="53">
        <v>0.0</v>
      </c>
      <c r="J56" s="53">
        <v>0.0</v>
      </c>
      <c r="K56" s="53">
        <v>0.0</v>
      </c>
      <c r="L56" s="53">
        <v>0.0</v>
      </c>
      <c r="M56" s="53">
        <v>0.0</v>
      </c>
      <c r="N56" s="53">
        <v>0.0</v>
      </c>
      <c r="O56" s="53">
        <v>0.0</v>
      </c>
      <c r="P56" s="53">
        <v>0.0</v>
      </c>
      <c r="Q56" s="53">
        <v>0.0</v>
      </c>
      <c r="R56" s="53">
        <v>0.0</v>
      </c>
      <c r="S56" s="53">
        <v>0.0</v>
      </c>
      <c r="T56" s="53">
        <v>0.0</v>
      </c>
      <c r="U56" s="53">
        <v>0.0</v>
      </c>
      <c r="V56" s="53"/>
      <c r="W56" s="53"/>
      <c r="X56" s="53"/>
      <c r="Y56" s="53"/>
      <c r="Z56" s="53"/>
    </row>
    <row r="57" ht="15.75" customHeight="1">
      <c r="A57" s="56" t="s">
        <v>427</v>
      </c>
      <c r="B57" s="57" t="s">
        <v>448</v>
      </c>
      <c r="C57" s="58">
        <f t="shared" ref="C57:U57" si="4">SUM(C47:C56)</f>
        <v>-198010</v>
      </c>
      <c r="D57" s="58">
        <f t="shared" si="4"/>
        <v>190186</v>
      </c>
      <c r="E57" s="58">
        <f t="shared" si="4"/>
        <v>177801</v>
      </c>
      <c r="F57" s="58">
        <f t="shared" si="4"/>
        <v>120311</v>
      </c>
      <c r="G57" s="58">
        <f t="shared" si="4"/>
        <v>-121183</v>
      </c>
      <c r="H57" s="58">
        <f t="shared" si="4"/>
        <v>84658</v>
      </c>
      <c r="I57" s="58">
        <f t="shared" si="4"/>
        <v>38810</v>
      </c>
      <c r="J57" s="58">
        <f t="shared" si="4"/>
        <v>-10871</v>
      </c>
      <c r="K57" s="58">
        <f t="shared" si="4"/>
        <v>-302764</v>
      </c>
      <c r="L57" s="58">
        <f t="shared" si="4"/>
        <v>267827</v>
      </c>
      <c r="M57" s="58">
        <f t="shared" si="4"/>
        <v>-49867</v>
      </c>
      <c r="N57" s="58">
        <f t="shared" si="4"/>
        <v>-134108</v>
      </c>
      <c r="O57" s="58">
        <f t="shared" si="4"/>
        <v>57527</v>
      </c>
      <c r="P57" s="58">
        <f t="shared" si="4"/>
        <v>-271565</v>
      </c>
      <c r="Q57" s="58">
        <f t="shared" si="4"/>
        <v>127282</v>
      </c>
      <c r="R57" s="58">
        <f t="shared" si="4"/>
        <v>-8221</v>
      </c>
      <c r="S57" s="58">
        <f t="shared" si="4"/>
        <v>-84756</v>
      </c>
      <c r="T57" s="58">
        <f t="shared" si="4"/>
        <v>115595.28</v>
      </c>
      <c r="U57" s="58">
        <f t="shared" si="4"/>
        <v>-221745.28</v>
      </c>
      <c r="V57" s="58"/>
      <c r="W57" s="58"/>
      <c r="X57" s="58"/>
      <c r="Y57" s="58"/>
      <c r="Z57" s="58"/>
    </row>
    <row r="58" ht="15.75" customHeight="1">
      <c r="A58" s="56"/>
      <c r="B58" s="57"/>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5.75" customHeight="1">
      <c r="A59" s="56" t="s">
        <v>511</v>
      </c>
      <c r="B59" s="57" t="s">
        <v>450</v>
      </c>
      <c r="C59" s="58">
        <f t="shared" ref="C59:U59" si="5">SUM(C32,C44,C57)</f>
        <v>-122489</v>
      </c>
      <c r="D59" s="58">
        <f t="shared" si="5"/>
        <v>93012</v>
      </c>
      <c r="E59" s="58">
        <f t="shared" si="5"/>
        <v>-54907</v>
      </c>
      <c r="F59" s="58">
        <f t="shared" si="5"/>
        <v>29661</v>
      </c>
      <c r="G59" s="58">
        <f t="shared" si="5"/>
        <v>13474</v>
      </c>
      <c r="H59" s="58">
        <f t="shared" si="5"/>
        <v>3500</v>
      </c>
      <c r="I59" s="58">
        <f t="shared" si="5"/>
        <v>101426</v>
      </c>
      <c r="J59" s="58">
        <f t="shared" si="5"/>
        <v>-88953</v>
      </c>
      <c r="K59" s="58">
        <f t="shared" si="5"/>
        <v>-36452</v>
      </c>
      <c r="L59" s="58">
        <f t="shared" si="5"/>
        <v>14586</v>
      </c>
      <c r="M59" s="58">
        <f t="shared" si="5"/>
        <v>164660</v>
      </c>
      <c r="N59" s="58">
        <f t="shared" si="5"/>
        <v>-108398</v>
      </c>
      <c r="O59" s="58">
        <f t="shared" si="5"/>
        <v>-4880</v>
      </c>
      <c r="P59" s="58">
        <f t="shared" si="5"/>
        <v>-8300</v>
      </c>
      <c r="Q59" s="58">
        <f t="shared" si="5"/>
        <v>14270</v>
      </c>
      <c r="R59" s="58">
        <f t="shared" si="5"/>
        <v>58746</v>
      </c>
      <c r="S59" s="58">
        <f t="shared" si="5"/>
        <v>-149821</v>
      </c>
      <c r="T59" s="58">
        <f t="shared" si="5"/>
        <v>58980.93</v>
      </c>
      <c r="U59" s="58">
        <f t="shared" si="5"/>
        <v>-33159.71</v>
      </c>
      <c r="V59" s="58"/>
      <c r="W59" s="58"/>
      <c r="X59" s="58"/>
      <c r="Y59" s="58"/>
      <c r="Z59" s="58"/>
    </row>
    <row r="60" ht="15.75" customHeight="1">
      <c r="A60" s="41"/>
      <c r="B60" s="52"/>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5.75" customHeight="1">
      <c r="A61" s="56" t="s">
        <v>451</v>
      </c>
      <c r="B61" s="57" t="s">
        <v>452</v>
      </c>
      <c r="C61" s="96">
        <v>190031.0</v>
      </c>
      <c r="D61" s="58">
        <f t="shared" ref="D61:U61" si="6">ROUND(C62,0)</f>
        <v>67542</v>
      </c>
      <c r="E61" s="58">
        <f t="shared" si="6"/>
        <v>160554</v>
      </c>
      <c r="F61" s="58">
        <f t="shared" si="6"/>
        <v>105647</v>
      </c>
      <c r="G61" s="58">
        <f t="shared" si="6"/>
        <v>135308</v>
      </c>
      <c r="H61" s="58">
        <f t="shared" si="6"/>
        <v>148782</v>
      </c>
      <c r="I61" s="58">
        <f t="shared" si="6"/>
        <v>152282</v>
      </c>
      <c r="J61" s="58">
        <f t="shared" si="6"/>
        <v>253708</v>
      </c>
      <c r="K61" s="58">
        <f t="shared" si="6"/>
        <v>164755</v>
      </c>
      <c r="L61" s="58">
        <f t="shared" si="6"/>
        <v>128303</v>
      </c>
      <c r="M61" s="58">
        <f t="shared" si="6"/>
        <v>142889</v>
      </c>
      <c r="N61" s="58">
        <f t="shared" si="6"/>
        <v>307549</v>
      </c>
      <c r="O61" s="58">
        <f t="shared" si="6"/>
        <v>199151</v>
      </c>
      <c r="P61" s="58">
        <f t="shared" si="6"/>
        <v>194271</v>
      </c>
      <c r="Q61" s="58">
        <f t="shared" si="6"/>
        <v>185971</v>
      </c>
      <c r="R61" s="58">
        <f t="shared" si="6"/>
        <v>200241</v>
      </c>
      <c r="S61" s="58">
        <f t="shared" si="6"/>
        <v>258987</v>
      </c>
      <c r="T61" s="58">
        <f t="shared" si="6"/>
        <v>109166</v>
      </c>
      <c r="U61" s="58">
        <f t="shared" si="6"/>
        <v>168147</v>
      </c>
      <c r="V61" s="58"/>
      <c r="W61" s="58"/>
      <c r="X61" s="58"/>
      <c r="Y61" s="58"/>
      <c r="Z61" s="58"/>
    </row>
    <row r="62" ht="16.5" customHeight="1">
      <c r="A62" s="56" t="s">
        <v>453</v>
      </c>
      <c r="B62" s="57" t="s">
        <v>454</v>
      </c>
      <c r="C62" s="58">
        <f t="shared" ref="C62:U62" si="7">C61+C59</f>
        <v>67542</v>
      </c>
      <c r="D62" s="58">
        <f t="shared" si="7"/>
        <v>160554</v>
      </c>
      <c r="E62" s="58">
        <f t="shared" si="7"/>
        <v>105647</v>
      </c>
      <c r="F62" s="58">
        <f t="shared" si="7"/>
        <v>135308</v>
      </c>
      <c r="G62" s="58">
        <f t="shared" si="7"/>
        <v>148782</v>
      </c>
      <c r="H62" s="58">
        <f t="shared" si="7"/>
        <v>152282</v>
      </c>
      <c r="I62" s="58">
        <f t="shared" si="7"/>
        <v>253708</v>
      </c>
      <c r="J62" s="58">
        <f t="shared" si="7"/>
        <v>164755</v>
      </c>
      <c r="K62" s="58">
        <f t="shared" si="7"/>
        <v>128303</v>
      </c>
      <c r="L62" s="58">
        <f t="shared" si="7"/>
        <v>142889</v>
      </c>
      <c r="M62" s="58">
        <f t="shared" si="7"/>
        <v>307549</v>
      </c>
      <c r="N62" s="58">
        <f t="shared" si="7"/>
        <v>199151</v>
      </c>
      <c r="O62" s="58">
        <f t="shared" si="7"/>
        <v>194271</v>
      </c>
      <c r="P62" s="58">
        <f t="shared" si="7"/>
        <v>185971</v>
      </c>
      <c r="Q62" s="58">
        <f t="shared" si="7"/>
        <v>200241</v>
      </c>
      <c r="R62" s="58">
        <f t="shared" si="7"/>
        <v>258987</v>
      </c>
      <c r="S62" s="58">
        <f t="shared" si="7"/>
        <v>109166</v>
      </c>
      <c r="T62" s="58">
        <f t="shared" si="7"/>
        <v>168146.93</v>
      </c>
      <c r="U62" s="58">
        <f t="shared" si="7"/>
        <v>134987.29</v>
      </c>
      <c r="V62" s="58"/>
      <c r="W62" s="58"/>
      <c r="X62" s="58"/>
      <c r="Y62" s="58"/>
      <c r="Z62" s="58"/>
    </row>
    <row r="63" ht="16.5" customHeight="1">
      <c r="A63" s="41"/>
      <c r="B63" s="52"/>
      <c r="C63" s="84"/>
      <c r="D63" s="84"/>
      <c r="E63" s="69"/>
      <c r="F63" s="69"/>
      <c r="G63" s="69"/>
      <c r="H63" s="69"/>
      <c r="I63" s="69"/>
      <c r="J63" s="69"/>
      <c r="K63" s="69"/>
      <c r="L63" s="69"/>
      <c r="M63" s="69"/>
      <c r="N63" s="69"/>
      <c r="O63" s="69"/>
      <c r="P63" s="69"/>
      <c r="Q63" s="69"/>
      <c r="R63" s="69"/>
      <c r="S63" s="69"/>
      <c r="T63" s="69"/>
      <c r="U63" s="69"/>
      <c r="V63" s="69"/>
      <c r="W63" s="69"/>
      <c r="X63" s="69"/>
      <c r="Y63" s="69"/>
      <c r="Z63" s="69"/>
    </row>
    <row r="64" ht="15.75" customHeight="1">
      <c r="A64" s="41" t="s">
        <v>455</v>
      </c>
      <c r="B64" s="52" t="s">
        <v>456</v>
      </c>
      <c r="C64" s="53">
        <v>0.0</v>
      </c>
      <c r="D64" s="53">
        <v>0.0</v>
      </c>
      <c r="E64" s="53">
        <v>0.0</v>
      </c>
      <c r="F64" s="53">
        <v>0.0</v>
      </c>
      <c r="G64" s="53">
        <v>185.0</v>
      </c>
      <c r="H64" s="53">
        <v>117.0</v>
      </c>
      <c r="I64" s="53">
        <v>250.0</v>
      </c>
      <c r="J64" s="53">
        <v>327.0</v>
      </c>
      <c r="K64" s="53">
        <v>69.0</v>
      </c>
      <c r="L64" s="53">
        <v>900.0</v>
      </c>
      <c r="M64" s="53">
        <v>4953.0</v>
      </c>
      <c r="N64" s="53">
        <v>5676.0</v>
      </c>
      <c r="O64" s="53">
        <v>5070.0</v>
      </c>
      <c r="P64" s="53">
        <v>3756.0</v>
      </c>
      <c r="Q64" s="53">
        <v>3827.0</v>
      </c>
      <c r="R64" s="53">
        <v>2775.0</v>
      </c>
      <c r="S64" s="53">
        <v>3504.0</v>
      </c>
      <c r="T64" s="53">
        <v>3870.0</v>
      </c>
      <c r="U64" s="53">
        <v>1094.0</v>
      </c>
      <c r="V64" s="53"/>
      <c r="W64" s="53"/>
      <c r="X64" s="53"/>
      <c r="Y64" s="53"/>
      <c r="Z64" s="53"/>
    </row>
    <row r="65" ht="15.75" customHeight="1">
      <c r="A65" s="56" t="s">
        <v>459</v>
      </c>
      <c r="B65" s="57" t="s">
        <v>460</v>
      </c>
      <c r="C65" s="58"/>
      <c r="D65" s="58"/>
      <c r="E65" s="58"/>
      <c r="F65" s="58"/>
      <c r="G65" s="58">
        <f t="shared" ref="G65:U65" si="8">G28+G31+G35+G36+G41+G49-G64</f>
        <v>-110749</v>
      </c>
      <c r="H65" s="58">
        <f t="shared" si="8"/>
        <v>110072</v>
      </c>
      <c r="I65" s="58">
        <f t="shared" si="8"/>
        <v>98470</v>
      </c>
      <c r="J65" s="58">
        <f t="shared" si="8"/>
        <v>-19151</v>
      </c>
      <c r="K65" s="58">
        <f t="shared" si="8"/>
        <v>-19039</v>
      </c>
      <c r="L65" s="58">
        <f t="shared" si="8"/>
        <v>191449</v>
      </c>
      <c r="M65" s="58">
        <f t="shared" si="8"/>
        <v>-298853</v>
      </c>
      <c r="N65" s="58">
        <f t="shared" si="8"/>
        <v>160028</v>
      </c>
      <c r="O65" s="58">
        <f t="shared" si="8"/>
        <v>-218748</v>
      </c>
      <c r="P65" s="58">
        <f t="shared" si="8"/>
        <v>494524</v>
      </c>
      <c r="Q65" s="58">
        <f t="shared" si="8"/>
        <v>-199961</v>
      </c>
      <c r="R65" s="58">
        <f t="shared" si="8"/>
        <v>-85097</v>
      </c>
      <c r="S65" s="58">
        <f t="shared" si="8"/>
        <v>-49529</v>
      </c>
      <c r="T65" s="58">
        <f t="shared" si="8"/>
        <v>-113332.38</v>
      </c>
      <c r="U65" s="58">
        <f t="shared" si="8"/>
        <v>315604.12</v>
      </c>
      <c r="V65" s="58"/>
      <c r="W65" s="58"/>
      <c r="X65" s="58"/>
      <c r="Y65" s="58"/>
      <c r="Z65" s="58"/>
    </row>
    <row r="66" ht="16.5" customHeight="1">
      <c r="A66" s="41"/>
      <c r="B66" s="52"/>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6.5" customHeight="1">
      <c r="A67" s="41"/>
      <c r="B67" s="52"/>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6.5" customHeight="1">
      <c r="A68" s="41"/>
      <c r="B68" s="52"/>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6.5" customHeight="1">
      <c r="A69" s="41"/>
      <c r="B69" s="52"/>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6.5" customHeight="1">
      <c r="A70" s="41"/>
      <c r="B70" s="52"/>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6.5" customHeight="1">
      <c r="A71" s="41"/>
      <c r="B71" s="52"/>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6.5" customHeight="1">
      <c r="A72" s="41"/>
      <c r="B72" s="52"/>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6.5" customHeight="1">
      <c r="A73" s="41"/>
      <c r="B73" s="52"/>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6.5" customHeight="1">
      <c r="A74" s="41"/>
      <c r="B74" s="52"/>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6.5" customHeight="1">
      <c r="A75" s="41"/>
      <c r="B75" s="52"/>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6.5" customHeight="1">
      <c r="A76" s="41"/>
      <c r="B76" s="52"/>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6.5" customHeight="1">
      <c r="A77" s="41"/>
      <c r="B77" s="52"/>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6.5" customHeight="1">
      <c r="A78" s="41"/>
      <c r="B78" s="52"/>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6.5" customHeight="1">
      <c r="A79" s="41"/>
      <c r="B79" s="52"/>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6.5" customHeight="1">
      <c r="A80" s="41"/>
      <c r="B80" s="52"/>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6.5" customHeight="1">
      <c r="A81" s="41"/>
      <c r="B81" s="52"/>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6.5" customHeight="1">
      <c r="A82" s="41"/>
      <c r="B82" s="52"/>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6.5" customHeight="1">
      <c r="A83" s="41"/>
      <c r="B83" s="52"/>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6.5" customHeight="1">
      <c r="A84" s="41"/>
      <c r="B84" s="52"/>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6.5" customHeight="1">
      <c r="A85" s="41"/>
      <c r="B85" s="52"/>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6.5" customHeight="1">
      <c r="A86" s="41"/>
      <c r="B86" s="52"/>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6.5" customHeight="1">
      <c r="A87" s="41"/>
      <c r="B87" s="52"/>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6.5" customHeight="1">
      <c r="A88" s="41"/>
      <c r="B88" s="52"/>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6.5" customHeight="1">
      <c r="A89" s="41"/>
      <c r="B89" s="52"/>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6.5" customHeight="1">
      <c r="A90" s="41"/>
      <c r="B90" s="52"/>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6.5" customHeight="1">
      <c r="A91" s="41"/>
      <c r="B91" s="52"/>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6.5" customHeight="1">
      <c r="A92" s="41"/>
      <c r="B92" s="52"/>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6.5" customHeight="1">
      <c r="A93" s="41"/>
      <c r="B93" s="52"/>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6.5" customHeight="1">
      <c r="A94" s="41"/>
      <c r="B94" s="52"/>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6.5" customHeight="1">
      <c r="A95" s="41"/>
      <c r="B95" s="52"/>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6.5" customHeight="1">
      <c r="A96" s="41"/>
      <c r="B96" s="52"/>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6.5" customHeight="1">
      <c r="A97" s="41"/>
      <c r="B97" s="52"/>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6.5" customHeight="1">
      <c r="A98" s="41"/>
      <c r="B98" s="52"/>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6.5" customHeight="1">
      <c r="A99" s="41"/>
      <c r="B99" s="52"/>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6.5" customHeight="1">
      <c r="A100" s="41"/>
      <c r="B100" s="52"/>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6.5" customHeight="1">
      <c r="A101" s="41"/>
      <c r="B101" s="52"/>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6.5" customHeight="1">
      <c r="A102" s="41"/>
      <c r="B102" s="52"/>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6.5" customHeight="1">
      <c r="A103" s="41"/>
      <c r="B103" s="52"/>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6.5" customHeight="1">
      <c r="A104" s="41"/>
      <c r="B104" s="52"/>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6.5" customHeight="1">
      <c r="A105" s="41"/>
      <c r="B105" s="52"/>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6.5" customHeight="1">
      <c r="A106" s="41"/>
      <c r="B106" s="52"/>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6.5" customHeight="1">
      <c r="A107" s="41"/>
      <c r="B107" s="52"/>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6.5" customHeight="1">
      <c r="A108" s="41"/>
      <c r="B108" s="52"/>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6.5" customHeight="1">
      <c r="A109" s="41"/>
      <c r="B109" s="52"/>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6.5" customHeight="1">
      <c r="A110" s="41"/>
      <c r="B110" s="52"/>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6.5" customHeight="1">
      <c r="A111" s="41"/>
      <c r="B111" s="52"/>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6.5" customHeight="1">
      <c r="A112" s="41"/>
      <c r="B112" s="52"/>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6.5" customHeight="1">
      <c r="A113" s="41"/>
      <c r="B113" s="52"/>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6.5" customHeight="1">
      <c r="A114" s="41"/>
      <c r="B114" s="52"/>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6.5" customHeight="1">
      <c r="A115" s="41"/>
      <c r="B115" s="52"/>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6.5" customHeight="1">
      <c r="A116" s="41"/>
      <c r="B116" s="52"/>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6.5" customHeight="1">
      <c r="A117" s="41"/>
      <c r="B117" s="52"/>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6.5" customHeight="1">
      <c r="A118" s="41"/>
      <c r="B118" s="52"/>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6.5" customHeight="1">
      <c r="A119" s="41"/>
      <c r="B119" s="52"/>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6.5" customHeight="1">
      <c r="A120" s="41"/>
      <c r="B120" s="52"/>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6.5" customHeight="1">
      <c r="A121" s="41"/>
      <c r="B121" s="52"/>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6.5" customHeight="1">
      <c r="A122" s="41"/>
      <c r="B122" s="52"/>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6.5" customHeight="1">
      <c r="A123" s="41"/>
      <c r="B123" s="52"/>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6.5" customHeight="1">
      <c r="A124" s="41"/>
      <c r="B124" s="52"/>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6.5" customHeight="1">
      <c r="A125" s="41"/>
      <c r="B125" s="52"/>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6.5" customHeight="1">
      <c r="A126" s="41"/>
      <c r="B126" s="52"/>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6.5" customHeight="1">
      <c r="A127" s="41"/>
      <c r="B127" s="52"/>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6.5" customHeight="1">
      <c r="A128" s="41"/>
      <c r="B128" s="52"/>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6.5" customHeight="1">
      <c r="A129" s="41"/>
      <c r="B129" s="52"/>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6.5" customHeight="1">
      <c r="A130" s="41"/>
      <c r="B130" s="52"/>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6.5" customHeight="1">
      <c r="A131" s="41"/>
      <c r="B131" s="52"/>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6.5" customHeight="1">
      <c r="A132" s="41"/>
      <c r="B132" s="52"/>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6.5" customHeight="1">
      <c r="A133" s="41"/>
      <c r="B133" s="52"/>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6.5" customHeight="1">
      <c r="A134" s="41"/>
      <c r="B134" s="52"/>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6.5" customHeight="1">
      <c r="A135" s="41"/>
      <c r="B135" s="52"/>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6.5" customHeight="1">
      <c r="A136" s="41"/>
      <c r="B136" s="52"/>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6.5" customHeight="1">
      <c r="A137" s="41"/>
      <c r="B137" s="52"/>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6.5" customHeight="1">
      <c r="A138" s="41"/>
      <c r="B138" s="52"/>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6.5" customHeight="1">
      <c r="A139" s="41"/>
      <c r="B139" s="52"/>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6.5" customHeight="1">
      <c r="A140" s="41"/>
      <c r="B140" s="52"/>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6.5" customHeight="1">
      <c r="A141" s="41"/>
      <c r="B141" s="52"/>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6.5" customHeight="1">
      <c r="A142" s="41"/>
      <c r="B142" s="52"/>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6.5" customHeight="1">
      <c r="A143" s="41"/>
      <c r="B143" s="52"/>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6.5" customHeight="1">
      <c r="A144" s="41"/>
      <c r="B144" s="52"/>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6.5" customHeight="1">
      <c r="A145" s="41"/>
      <c r="B145" s="52"/>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6.5" customHeight="1">
      <c r="A146" s="41"/>
      <c r="B146" s="52"/>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6.5" customHeight="1">
      <c r="A147" s="41"/>
      <c r="B147" s="52"/>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6.5" customHeight="1">
      <c r="A148" s="41"/>
      <c r="B148" s="52"/>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6.5" customHeight="1">
      <c r="A149" s="41"/>
      <c r="B149" s="52"/>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6.5" customHeight="1">
      <c r="A150" s="41"/>
      <c r="B150" s="52"/>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6.5" customHeight="1">
      <c r="A151" s="41"/>
      <c r="B151" s="52"/>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6.5" customHeight="1">
      <c r="A152" s="41"/>
      <c r="B152" s="52"/>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6.5" customHeight="1">
      <c r="A153" s="41"/>
      <c r="B153" s="52"/>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6.5" customHeight="1">
      <c r="A154" s="41"/>
      <c r="B154" s="52"/>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6.5" customHeight="1">
      <c r="A155" s="41"/>
      <c r="B155" s="52"/>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6.5" customHeight="1">
      <c r="A156" s="41"/>
      <c r="B156" s="52"/>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6.5" customHeight="1">
      <c r="A157" s="41"/>
      <c r="B157" s="52"/>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6.5" customHeight="1">
      <c r="A158" s="41"/>
      <c r="B158" s="52"/>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6.5" customHeight="1">
      <c r="A159" s="41"/>
      <c r="B159" s="52"/>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6.5" customHeight="1">
      <c r="A160" s="41"/>
      <c r="B160" s="52"/>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6.5" customHeight="1">
      <c r="A161" s="41"/>
      <c r="B161" s="52"/>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6.5" customHeight="1">
      <c r="A162" s="41"/>
      <c r="B162" s="52"/>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6.5" customHeight="1">
      <c r="A163" s="41"/>
      <c r="B163" s="52"/>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6.5" customHeight="1">
      <c r="A164" s="41"/>
      <c r="B164" s="52"/>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6.5" customHeight="1">
      <c r="A165" s="41"/>
      <c r="B165" s="52"/>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6.5" customHeight="1">
      <c r="A166" s="41"/>
      <c r="B166" s="52"/>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6.5" customHeight="1">
      <c r="A167" s="41"/>
      <c r="B167" s="52"/>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6.5" customHeight="1">
      <c r="A168" s="41"/>
      <c r="B168" s="52"/>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6.5" customHeight="1">
      <c r="A169" s="41"/>
      <c r="B169" s="52"/>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6.5" customHeight="1">
      <c r="A170" s="41"/>
      <c r="B170" s="52"/>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6.5" customHeight="1">
      <c r="A171" s="41"/>
      <c r="B171" s="52"/>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6.5" customHeight="1">
      <c r="A172" s="41"/>
      <c r="B172" s="52"/>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6.5" customHeight="1">
      <c r="A173" s="41"/>
      <c r="B173" s="52"/>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6.5" customHeight="1">
      <c r="A174" s="41"/>
      <c r="B174" s="52"/>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6.5" customHeight="1">
      <c r="A175" s="41"/>
      <c r="B175" s="52"/>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6.5" customHeight="1">
      <c r="A176" s="41"/>
      <c r="B176" s="52"/>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6.5" customHeight="1">
      <c r="A177" s="41"/>
      <c r="B177" s="52"/>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6.5" customHeight="1">
      <c r="A178" s="41"/>
      <c r="B178" s="52"/>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6.5" customHeight="1">
      <c r="A179" s="41"/>
      <c r="B179" s="52"/>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6.5" customHeight="1">
      <c r="A180" s="41"/>
      <c r="B180" s="52"/>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6.5" customHeight="1">
      <c r="A181" s="41"/>
      <c r="B181" s="52"/>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6.5" customHeight="1">
      <c r="A182" s="41"/>
      <c r="B182" s="52"/>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6.5" customHeight="1">
      <c r="A183" s="41"/>
      <c r="B183" s="52"/>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6.5" customHeight="1">
      <c r="A184" s="41"/>
      <c r="B184" s="52"/>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6.5" customHeight="1">
      <c r="A185" s="41"/>
      <c r="B185" s="52"/>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6.5" customHeight="1">
      <c r="A186" s="41"/>
      <c r="B186" s="52"/>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6.5" customHeight="1">
      <c r="A187" s="41"/>
      <c r="B187" s="52"/>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6.5" customHeight="1">
      <c r="A188" s="41"/>
      <c r="B188" s="52"/>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6.5" customHeight="1">
      <c r="A189" s="41"/>
      <c r="B189" s="52"/>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6.5" customHeight="1">
      <c r="A190" s="41"/>
      <c r="B190" s="52"/>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6.5" customHeight="1">
      <c r="A191" s="41"/>
      <c r="B191" s="52"/>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6.5" customHeight="1">
      <c r="A192" s="41"/>
      <c r="B192" s="52"/>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6.5" customHeight="1">
      <c r="A193" s="41"/>
      <c r="B193" s="52"/>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6.5" customHeight="1">
      <c r="A194" s="41"/>
      <c r="B194" s="52"/>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6.5" customHeight="1">
      <c r="A195" s="41"/>
      <c r="B195" s="52"/>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6.5" customHeight="1">
      <c r="A196" s="41"/>
      <c r="B196" s="52"/>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6.5" customHeight="1">
      <c r="A197" s="41"/>
      <c r="B197" s="52"/>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6.5" customHeight="1">
      <c r="A198" s="41"/>
      <c r="B198" s="52"/>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6.5" customHeight="1">
      <c r="A199" s="41"/>
      <c r="B199" s="52"/>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6.5" customHeight="1">
      <c r="A200" s="41"/>
      <c r="B200" s="52"/>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6.5" customHeight="1">
      <c r="A201" s="41"/>
      <c r="B201" s="52"/>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6.5" customHeight="1">
      <c r="A202" s="41"/>
      <c r="B202" s="52"/>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6.5" customHeight="1">
      <c r="A203" s="41"/>
      <c r="B203" s="52"/>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6.5" customHeight="1">
      <c r="A204" s="41"/>
      <c r="B204" s="52"/>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6.5" customHeight="1">
      <c r="A205" s="41"/>
      <c r="B205" s="52"/>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6.5" customHeight="1">
      <c r="A206" s="41"/>
      <c r="B206" s="52"/>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6.5" customHeight="1">
      <c r="A207" s="41"/>
      <c r="B207" s="52"/>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6.5" customHeight="1">
      <c r="A208" s="41"/>
      <c r="B208" s="52"/>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6.5" customHeight="1">
      <c r="A209" s="41"/>
      <c r="B209" s="52"/>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6.5" customHeight="1">
      <c r="A210" s="41"/>
      <c r="B210" s="52"/>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6.5" customHeight="1">
      <c r="A211" s="41"/>
      <c r="B211" s="52"/>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6.5" customHeight="1">
      <c r="A212" s="41"/>
      <c r="B212" s="52"/>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6.5" customHeight="1">
      <c r="A213" s="41"/>
      <c r="B213" s="52"/>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6.5" customHeight="1">
      <c r="A214" s="41"/>
      <c r="B214" s="52"/>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6.5" customHeight="1">
      <c r="A215" s="41"/>
      <c r="B215" s="52"/>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87401575" footer="0.0" header="0.0" left="0.511811024" right="0.511811024"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2025-11-05T14:32:44Z</dcterms:created>
  <dc:creator>Tiago Mussa</dc:creator>
</cp:coreProperties>
</file>