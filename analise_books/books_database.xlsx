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enda0-my.sharepoint.com/personal/aabiusi_tenda_com/Documents/Área de Trabalho/"/>
    </mc:Choice>
  </mc:AlternateContent>
  <xr:revisionPtr revIDLastSave="274" documentId="13_ncr:1_{F3DD8E4F-8B83-46D5-898C-B9B7D93A3BAF}" xr6:coauthVersionLast="47" xr6:coauthVersionMax="47" xr10:uidLastSave="{6E75317D-7316-4D1F-9B0D-FB900398C3A3}"/>
  <bookViews>
    <workbookView xWindow="-98" yWindow="-98" windowWidth="21795" windowHeight="12975" activeTab="3" xr2:uid="{00000000-000D-0000-FFFF-FFFF00000000}"/>
  </bookViews>
  <sheets>
    <sheet name="dados_original" sheetId="1" r:id="rId1"/>
    <sheet name="Gráfico2" sheetId="4" r:id="rId2"/>
    <sheet name="dados_filtrado" sheetId="2" r:id="rId3"/>
    <sheet name="Planilha2" sheetId="5" r:id="rId4"/>
  </sheets>
  <definedNames>
    <definedName name="_xlnm._FilterDatabase" localSheetId="2" hidden="1">dados_filtrado!$A$1:$AC$171</definedName>
    <definedName name="_xlnm._FilterDatabase" localSheetId="0" hidden="1">dados_original!$A$1:$Z$249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5" i="5" l="1"/>
  <c r="X48" i="5"/>
  <c r="X41" i="5"/>
  <c r="X34" i="5"/>
  <c r="AF34" i="5" s="1"/>
  <c r="AJ54" i="5"/>
  <c r="AI54" i="5"/>
  <c r="AH54" i="5"/>
  <c r="AG54" i="5"/>
  <c r="AJ53" i="5"/>
  <c r="AI53" i="5"/>
  <c r="AH53" i="5"/>
  <c r="AG53" i="5"/>
  <c r="AJ52" i="5"/>
  <c r="AI52" i="5"/>
  <c r="AH52" i="5"/>
  <c r="AG52" i="5"/>
  <c r="AJ51" i="5"/>
  <c r="AI51" i="5"/>
  <c r="AH51" i="5"/>
  <c r="AG51" i="5"/>
  <c r="AJ47" i="5"/>
  <c r="AI47" i="5"/>
  <c r="AH47" i="5"/>
  <c r="AG47" i="5"/>
  <c r="AJ46" i="5"/>
  <c r="AI46" i="5"/>
  <c r="AH46" i="5"/>
  <c r="AG46" i="5"/>
  <c r="AJ45" i="5"/>
  <c r="AI45" i="5"/>
  <c r="AH45" i="5"/>
  <c r="AG45" i="5"/>
  <c r="AJ44" i="5"/>
  <c r="AI44" i="5"/>
  <c r="AH44" i="5"/>
  <c r="AG44" i="5"/>
  <c r="AJ40" i="5"/>
  <c r="AI40" i="5"/>
  <c r="AH40" i="5"/>
  <c r="AG40" i="5"/>
  <c r="AJ39" i="5"/>
  <c r="AI39" i="5"/>
  <c r="AH39" i="5"/>
  <c r="AG39" i="5"/>
  <c r="AJ38" i="5"/>
  <c r="AI38" i="5"/>
  <c r="AH38" i="5"/>
  <c r="AG38" i="5"/>
  <c r="AJ37" i="5"/>
  <c r="AI37" i="5"/>
  <c r="AH37" i="5"/>
  <c r="AG37" i="5"/>
  <c r="AJ33" i="5"/>
  <c r="AI33" i="5"/>
  <c r="AH33" i="5"/>
  <c r="AG33" i="5"/>
  <c r="AJ32" i="5"/>
  <c r="AI32" i="5"/>
  <c r="AH32" i="5"/>
  <c r="AG32" i="5"/>
  <c r="AJ31" i="5"/>
  <c r="AI31" i="5"/>
  <c r="AH31" i="5"/>
  <c r="AG31" i="5"/>
  <c r="AJ30" i="5"/>
  <c r="AI30" i="5"/>
  <c r="AH30" i="5"/>
  <c r="AG30" i="5"/>
  <c r="X54" i="5"/>
  <c r="AB54" i="5" s="1"/>
  <c r="AB53" i="5"/>
  <c r="AA53" i="5"/>
  <c r="Z53" i="5"/>
  <c r="X53" i="5"/>
  <c r="Y53" i="5" s="1"/>
  <c r="X52" i="5"/>
  <c r="AB52" i="5" s="1"/>
  <c r="AB51" i="5"/>
  <c r="X51" i="5"/>
  <c r="AA51" i="5" s="1"/>
  <c r="AB47" i="5"/>
  <c r="AA47" i="5"/>
  <c r="Z47" i="5"/>
  <c r="Y47" i="5"/>
  <c r="X47" i="5"/>
  <c r="X46" i="5"/>
  <c r="Y46" i="5" s="1"/>
  <c r="AB45" i="5"/>
  <c r="AA45" i="5"/>
  <c r="X45" i="5"/>
  <c r="Z45" i="5" s="1"/>
  <c r="X44" i="5"/>
  <c r="AA44" i="5" s="1"/>
  <c r="X40" i="5"/>
  <c r="AB40" i="5" s="1"/>
  <c r="AB39" i="5"/>
  <c r="AA39" i="5"/>
  <c r="Z39" i="5"/>
  <c r="X39" i="5"/>
  <c r="Y39" i="5" s="1"/>
  <c r="X38" i="5"/>
  <c r="Z38" i="5" s="1"/>
  <c r="AB37" i="5"/>
  <c r="X37" i="5"/>
  <c r="AA37" i="5" s="1"/>
  <c r="AB33" i="5"/>
  <c r="AA33" i="5"/>
  <c r="Z33" i="5"/>
  <c r="Y33" i="5"/>
  <c r="AB32" i="5"/>
  <c r="AA32" i="5"/>
  <c r="Z32" i="5"/>
  <c r="Y32" i="5"/>
  <c r="AB31" i="5"/>
  <c r="AA31" i="5"/>
  <c r="Z31" i="5"/>
  <c r="Y31" i="5"/>
  <c r="AB30" i="5"/>
  <c r="AA30" i="5"/>
  <c r="Z30" i="5"/>
  <c r="Y30" i="5"/>
  <c r="AF53" i="5"/>
  <c r="AF51" i="5"/>
  <c r="AF47" i="5"/>
  <c r="AF45" i="5"/>
  <c r="AF40" i="5"/>
  <c r="AF39" i="5"/>
  <c r="AF38" i="5"/>
  <c r="AF37" i="5"/>
  <c r="AF33" i="5"/>
  <c r="AF32" i="5"/>
  <c r="AF31" i="5"/>
  <c r="AF30" i="5"/>
  <c r="X33" i="5"/>
  <c r="X32" i="5"/>
  <c r="X31" i="5"/>
  <c r="X30" i="5"/>
  <c r="AG171" i="2"/>
  <c r="AG170" i="2"/>
  <c r="AG169" i="2"/>
  <c r="AG168" i="2"/>
  <c r="AG167" i="2"/>
  <c r="AG166" i="2"/>
  <c r="AG165" i="2"/>
  <c r="AG164" i="2"/>
  <c r="AG163" i="2"/>
  <c r="AG162" i="2"/>
  <c r="AG161" i="2"/>
  <c r="AG160" i="2"/>
  <c r="AG159" i="2"/>
  <c r="AG158" i="2"/>
  <c r="AG157" i="2"/>
  <c r="AG156" i="2"/>
  <c r="AG155" i="2"/>
  <c r="AG154" i="2"/>
  <c r="AG153" i="2"/>
  <c r="AG152" i="2"/>
  <c r="AG151" i="2"/>
  <c r="AG150" i="2"/>
  <c r="AG149" i="2"/>
  <c r="AG148" i="2"/>
  <c r="AG147" i="2"/>
  <c r="AG146" i="2"/>
  <c r="AG145" i="2"/>
  <c r="AG144" i="2"/>
  <c r="AG143" i="2"/>
  <c r="AG142" i="2"/>
  <c r="AG141" i="2"/>
  <c r="AG140" i="2"/>
  <c r="AG139" i="2"/>
  <c r="AG138" i="2"/>
  <c r="AG137" i="2"/>
  <c r="AG136" i="2"/>
  <c r="AG135" i="2"/>
  <c r="AG134" i="2"/>
  <c r="AG133" i="2"/>
  <c r="AG132" i="2"/>
  <c r="AG131" i="2"/>
  <c r="AG130" i="2"/>
  <c r="AG129" i="2"/>
  <c r="AG128" i="2"/>
  <c r="AG127" i="2"/>
  <c r="AG126" i="2"/>
  <c r="AG125" i="2"/>
  <c r="AG124" i="2"/>
  <c r="AG123" i="2"/>
  <c r="AG122" i="2"/>
  <c r="AG121" i="2"/>
  <c r="AG120" i="2"/>
  <c r="AG119" i="2"/>
  <c r="AG118" i="2"/>
  <c r="AG117" i="2"/>
  <c r="AG116" i="2"/>
  <c r="AG115" i="2"/>
  <c r="AG114" i="2"/>
  <c r="AG113" i="2"/>
  <c r="AG112" i="2"/>
  <c r="AG111" i="2"/>
  <c r="AG110" i="2"/>
  <c r="AG109" i="2"/>
  <c r="AG108" i="2"/>
  <c r="AG107" i="2"/>
  <c r="AG106" i="2"/>
  <c r="AG105" i="2"/>
  <c r="AG104" i="2"/>
  <c r="AG103" i="2"/>
  <c r="AG102" i="2"/>
  <c r="AG101" i="2"/>
  <c r="AG100" i="2"/>
  <c r="AG99" i="2"/>
  <c r="AG98" i="2"/>
  <c r="AG97" i="2"/>
  <c r="AG96" i="2"/>
  <c r="AG95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R52" i="5" s="1"/>
  <c r="AG3" i="2"/>
  <c r="AG2" i="2"/>
  <c r="AF171" i="2"/>
  <c r="AE171" i="2"/>
  <c r="AF170" i="2"/>
  <c r="AE170" i="2"/>
  <c r="AF169" i="2"/>
  <c r="AE169" i="2"/>
  <c r="AF168" i="2"/>
  <c r="AE168" i="2"/>
  <c r="AF167" i="2"/>
  <c r="AE167" i="2"/>
  <c r="AF166" i="2"/>
  <c r="AE166" i="2"/>
  <c r="AF165" i="2"/>
  <c r="AE165" i="2"/>
  <c r="AF164" i="2"/>
  <c r="AE164" i="2"/>
  <c r="AF163" i="2"/>
  <c r="AE163" i="2"/>
  <c r="AF162" i="2"/>
  <c r="AE162" i="2"/>
  <c r="AF161" i="2"/>
  <c r="AE161" i="2"/>
  <c r="AF160" i="2"/>
  <c r="AE160" i="2"/>
  <c r="AF159" i="2"/>
  <c r="AE159" i="2"/>
  <c r="AF158" i="2"/>
  <c r="AE158" i="2"/>
  <c r="AF157" i="2"/>
  <c r="AE157" i="2"/>
  <c r="AF156" i="2"/>
  <c r="AE156" i="2"/>
  <c r="AF155" i="2"/>
  <c r="AE155" i="2"/>
  <c r="AF154" i="2"/>
  <c r="AE154" i="2"/>
  <c r="AF153" i="2"/>
  <c r="AE153" i="2"/>
  <c r="AF152" i="2"/>
  <c r="AE152" i="2"/>
  <c r="AF151" i="2"/>
  <c r="AE151" i="2"/>
  <c r="AF150" i="2"/>
  <c r="AE150" i="2"/>
  <c r="AF149" i="2"/>
  <c r="AE149" i="2"/>
  <c r="AF148" i="2"/>
  <c r="AE148" i="2"/>
  <c r="AF147" i="2"/>
  <c r="AE147" i="2"/>
  <c r="AF146" i="2"/>
  <c r="AE146" i="2"/>
  <c r="AF145" i="2"/>
  <c r="AE145" i="2"/>
  <c r="AF144" i="2"/>
  <c r="AE144" i="2"/>
  <c r="AF143" i="2"/>
  <c r="AE143" i="2"/>
  <c r="AF142" i="2"/>
  <c r="AE142" i="2"/>
  <c r="AF141" i="2"/>
  <c r="AE141" i="2"/>
  <c r="AF140" i="2"/>
  <c r="AE140" i="2"/>
  <c r="AF139" i="2"/>
  <c r="AE139" i="2"/>
  <c r="AF138" i="2"/>
  <c r="AE138" i="2"/>
  <c r="AF137" i="2"/>
  <c r="AE137" i="2"/>
  <c r="AF136" i="2"/>
  <c r="AE136" i="2"/>
  <c r="AF135" i="2"/>
  <c r="AE135" i="2"/>
  <c r="AF134" i="2"/>
  <c r="AE134" i="2"/>
  <c r="AF133" i="2"/>
  <c r="AE133" i="2"/>
  <c r="AF132" i="2"/>
  <c r="AE132" i="2"/>
  <c r="AF131" i="2"/>
  <c r="AE131" i="2"/>
  <c r="AF130" i="2"/>
  <c r="AE130" i="2"/>
  <c r="AF129" i="2"/>
  <c r="AE129" i="2"/>
  <c r="AF128" i="2"/>
  <c r="AE128" i="2"/>
  <c r="AF127" i="2"/>
  <c r="AE127" i="2"/>
  <c r="AF126" i="2"/>
  <c r="AE126" i="2"/>
  <c r="AF125" i="2"/>
  <c r="AE125" i="2"/>
  <c r="AF124" i="2"/>
  <c r="AE124" i="2"/>
  <c r="AF123" i="2"/>
  <c r="AE123" i="2"/>
  <c r="AF122" i="2"/>
  <c r="AE122" i="2"/>
  <c r="AF121" i="2"/>
  <c r="AE121" i="2"/>
  <c r="AF120" i="2"/>
  <c r="AE120" i="2"/>
  <c r="AF119" i="2"/>
  <c r="AE119" i="2"/>
  <c r="AF118" i="2"/>
  <c r="AE118" i="2"/>
  <c r="AF117" i="2"/>
  <c r="AE117" i="2"/>
  <c r="AF116" i="2"/>
  <c r="AE116" i="2"/>
  <c r="AF115" i="2"/>
  <c r="AE115" i="2"/>
  <c r="AF114" i="2"/>
  <c r="AE114" i="2"/>
  <c r="AF113" i="2"/>
  <c r="AE113" i="2"/>
  <c r="AF112" i="2"/>
  <c r="AE112" i="2"/>
  <c r="AF111" i="2"/>
  <c r="AE111" i="2"/>
  <c r="AF110" i="2"/>
  <c r="AE110" i="2"/>
  <c r="AF109" i="2"/>
  <c r="AE109" i="2"/>
  <c r="AF108" i="2"/>
  <c r="AE108" i="2"/>
  <c r="AF107" i="2"/>
  <c r="AE107" i="2"/>
  <c r="AF106" i="2"/>
  <c r="AE106" i="2"/>
  <c r="AF105" i="2"/>
  <c r="AE105" i="2"/>
  <c r="AF104" i="2"/>
  <c r="AE104" i="2"/>
  <c r="AF103" i="2"/>
  <c r="AE103" i="2"/>
  <c r="AF102" i="2"/>
  <c r="AE102" i="2"/>
  <c r="AF101" i="2"/>
  <c r="AE101" i="2"/>
  <c r="AF100" i="2"/>
  <c r="AE100" i="2"/>
  <c r="AF99" i="2"/>
  <c r="AE99" i="2"/>
  <c r="AF98" i="2"/>
  <c r="AE98" i="2"/>
  <c r="AF97" i="2"/>
  <c r="AE97" i="2"/>
  <c r="AF96" i="2"/>
  <c r="AE96" i="2"/>
  <c r="AF95" i="2"/>
  <c r="AE95" i="2"/>
  <c r="AF94" i="2"/>
  <c r="AE94" i="2"/>
  <c r="AF93" i="2"/>
  <c r="AE93" i="2"/>
  <c r="AF92" i="2"/>
  <c r="AE92" i="2"/>
  <c r="AF91" i="2"/>
  <c r="AE91" i="2"/>
  <c r="AF90" i="2"/>
  <c r="AE90" i="2"/>
  <c r="AF89" i="2"/>
  <c r="AE89" i="2"/>
  <c r="AF88" i="2"/>
  <c r="AE88" i="2"/>
  <c r="AF87" i="2"/>
  <c r="AE87" i="2"/>
  <c r="AF86" i="2"/>
  <c r="AE86" i="2"/>
  <c r="AF85" i="2"/>
  <c r="AE85" i="2"/>
  <c r="AF84" i="2"/>
  <c r="AE84" i="2"/>
  <c r="AF83" i="2"/>
  <c r="AE83" i="2"/>
  <c r="AF82" i="2"/>
  <c r="AE82" i="2"/>
  <c r="AF81" i="2"/>
  <c r="AE81" i="2"/>
  <c r="AF80" i="2"/>
  <c r="AE80" i="2"/>
  <c r="AF79" i="2"/>
  <c r="AE79" i="2"/>
  <c r="AF78" i="2"/>
  <c r="AE78" i="2"/>
  <c r="AF77" i="2"/>
  <c r="AE77" i="2"/>
  <c r="AF76" i="2"/>
  <c r="AE76" i="2"/>
  <c r="AF75" i="2"/>
  <c r="AE75" i="2"/>
  <c r="AF74" i="2"/>
  <c r="AE74" i="2"/>
  <c r="AF73" i="2"/>
  <c r="AE73" i="2"/>
  <c r="AF72" i="2"/>
  <c r="AE72" i="2"/>
  <c r="AF71" i="2"/>
  <c r="AE71" i="2"/>
  <c r="AF70" i="2"/>
  <c r="AE70" i="2"/>
  <c r="AF69" i="2"/>
  <c r="AE69" i="2"/>
  <c r="AF68" i="2"/>
  <c r="AE68" i="2"/>
  <c r="AF67" i="2"/>
  <c r="AE67" i="2"/>
  <c r="AF66" i="2"/>
  <c r="AE66" i="2"/>
  <c r="AF65" i="2"/>
  <c r="AE65" i="2"/>
  <c r="AF64" i="2"/>
  <c r="AE64" i="2"/>
  <c r="AF63" i="2"/>
  <c r="AE63" i="2"/>
  <c r="AF62" i="2"/>
  <c r="AE62" i="2"/>
  <c r="AF61" i="2"/>
  <c r="AE61" i="2"/>
  <c r="AF60" i="2"/>
  <c r="AE60" i="2"/>
  <c r="AF59" i="2"/>
  <c r="AE59" i="2"/>
  <c r="AF58" i="2"/>
  <c r="AE58" i="2"/>
  <c r="AF57" i="2"/>
  <c r="AE57" i="2"/>
  <c r="AF56" i="2"/>
  <c r="AE56" i="2"/>
  <c r="AF55" i="2"/>
  <c r="AE55" i="2"/>
  <c r="AF54" i="2"/>
  <c r="AE54" i="2"/>
  <c r="AF53" i="2"/>
  <c r="AE53" i="2"/>
  <c r="AF52" i="2"/>
  <c r="AE52" i="2"/>
  <c r="AF51" i="2"/>
  <c r="AE51" i="2"/>
  <c r="AF50" i="2"/>
  <c r="AE50" i="2"/>
  <c r="AF49" i="2"/>
  <c r="AE49" i="2"/>
  <c r="AF48" i="2"/>
  <c r="AE48" i="2"/>
  <c r="AF47" i="2"/>
  <c r="AE47" i="2"/>
  <c r="AF46" i="2"/>
  <c r="AE46" i="2"/>
  <c r="AF45" i="2"/>
  <c r="AE45" i="2"/>
  <c r="AF44" i="2"/>
  <c r="AE44" i="2"/>
  <c r="AF43" i="2"/>
  <c r="AE43" i="2"/>
  <c r="AF42" i="2"/>
  <c r="AE42" i="2"/>
  <c r="AF41" i="2"/>
  <c r="AE41" i="2"/>
  <c r="AF40" i="2"/>
  <c r="AE40" i="2"/>
  <c r="AF39" i="2"/>
  <c r="AE39" i="2"/>
  <c r="AF38" i="2"/>
  <c r="AE38" i="2"/>
  <c r="AF37" i="2"/>
  <c r="AE37" i="2"/>
  <c r="AF36" i="2"/>
  <c r="AE36" i="2"/>
  <c r="AF35" i="2"/>
  <c r="AE35" i="2"/>
  <c r="AF34" i="2"/>
  <c r="AE34" i="2"/>
  <c r="AF33" i="2"/>
  <c r="AE33" i="2"/>
  <c r="AF32" i="2"/>
  <c r="AE32" i="2"/>
  <c r="AF31" i="2"/>
  <c r="AE31" i="2"/>
  <c r="AF30" i="2"/>
  <c r="AE30" i="2"/>
  <c r="AF29" i="2"/>
  <c r="AE29" i="2"/>
  <c r="AF28" i="2"/>
  <c r="AE28" i="2"/>
  <c r="AF27" i="2"/>
  <c r="AE27" i="2"/>
  <c r="AF26" i="2"/>
  <c r="AE26" i="2"/>
  <c r="AF25" i="2"/>
  <c r="AE25" i="2"/>
  <c r="AF24" i="2"/>
  <c r="AE24" i="2"/>
  <c r="AF23" i="2"/>
  <c r="AE23" i="2"/>
  <c r="AF22" i="2"/>
  <c r="AE22" i="2"/>
  <c r="AF21" i="2"/>
  <c r="AE21" i="2"/>
  <c r="AF20" i="2"/>
  <c r="AE20" i="2"/>
  <c r="AF19" i="2"/>
  <c r="AE19" i="2"/>
  <c r="AF18" i="2"/>
  <c r="AE18" i="2"/>
  <c r="AF17" i="2"/>
  <c r="AE17" i="2"/>
  <c r="AF16" i="2"/>
  <c r="AE16" i="2"/>
  <c r="AF15" i="2"/>
  <c r="AE15" i="2"/>
  <c r="AF14" i="2"/>
  <c r="AE14" i="2"/>
  <c r="AF13" i="2"/>
  <c r="AE13" i="2"/>
  <c r="AF12" i="2"/>
  <c r="AE12" i="2"/>
  <c r="AF11" i="2"/>
  <c r="AE11" i="2"/>
  <c r="AF10" i="2"/>
  <c r="AE10" i="2"/>
  <c r="AF9" i="2"/>
  <c r="AE9" i="2"/>
  <c r="AF8" i="2"/>
  <c r="AE8" i="2"/>
  <c r="AF7" i="2"/>
  <c r="AE7" i="2"/>
  <c r="AF6" i="2"/>
  <c r="AE6" i="2"/>
  <c r="AF5" i="2"/>
  <c r="AE5" i="2"/>
  <c r="AF4" i="2"/>
  <c r="AE4" i="2"/>
  <c r="AF3" i="2"/>
  <c r="AE3" i="2"/>
  <c r="AF2" i="2"/>
  <c r="J52" i="5"/>
  <c r="AE2" i="2"/>
  <c r="L51" i="5"/>
  <c r="K51" i="5"/>
  <c r="L46" i="5"/>
  <c r="K46" i="5"/>
  <c r="L44" i="5"/>
  <c r="K44" i="5"/>
  <c r="L39" i="5"/>
  <c r="K39" i="5"/>
  <c r="L37" i="5"/>
  <c r="K37" i="5"/>
  <c r="L32" i="5"/>
  <c r="K32" i="5"/>
  <c r="L30" i="5"/>
  <c r="K30" i="5"/>
  <c r="R53" i="5"/>
  <c r="R39" i="5"/>
  <c r="E10" i="5"/>
  <c r="D10" i="5"/>
  <c r="C10" i="5"/>
  <c r="E9" i="5"/>
  <c r="D9" i="5"/>
  <c r="C9" i="5"/>
  <c r="E8" i="5"/>
  <c r="D8" i="5"/>
  <c r="C8" i="5"/>
  <c r="E7" i="5"/>
  <c r="D7" i="5"/>
  <c r="C7" i="5"/>
  <c r="E6" i="5"/>
  <c r="D6" i="5"/>
  <c r="C6" i="5"/>
  <c r="F18" i="5"/>
  <c r="E18" i="5"/>
  <c r="D18" i="5"/>
  <c r="C18" i="5"/>
  <c r="F17" i="5"/>
  <c r="E17" i="5"/>
  <c r="D17" i="5"/>
  <c r="C17" i="5"/>
  <c r="F16" i="5"/>
  <c r="E16" i="5"/>
  <c r="D16" i="5"/>
  <c r="C16" i="5"/>
  <c r="F15" i="5"/>
  <c r="E15" i="5"/>
  <c r="D15" i="5"/>
  <c r="C15" i="5"/>
  <c r="F14" i="5"/>
  <c r="E14" i="5"/>
  <c r="D14" i="5"/>
  <c r="C14" i="5"/>
  <c r="AD171" i="2"/>
  <c r="AD170" i="2"/>
  <c r="AD169" i="2"/>
  <c r="AD168" i="2"/>
  <c r="AD167" i="2"/>
  <c r="AD166" i="2"/>
  <c r="AD165" i="2"/>
  <c r="AD164" i="2"/>
  <c r="AD163" i="2"/>
  <c r="AD162" i="2"/>
  <c r="AD161" i="2"/>
  <c r="AD160" i="2"/>
  <c r="AD159" i="2"/>
  <c r="AD158" i="2"/>
  <c r="AD157" i="2"/>
  <c r="AD156" i="2"/>
  <c r="AD155" i="2"/>
  <c r="AD154" i="2"/>
  <c r="AD153" i="2"/>
  <c r="AD152" i="2"/>
  <c r="AD151" i="2"/>
  <c r="AD150" i="2"/>
  <c r="AD149" i="2"/>
  <c r="AD148" i="2"/>
  <c r="AD147" i="2"/>
  <c r="AD146" i="2"/>
  <c r="AD145" i="2"/>
  <c r="AD144" i="2"/>
  <c r="AD143" i="2"/>
  <c r="AD142" i="2"/>
  <c r="AD141" i="2"/>
  <c r="AD140" i="2"/>
  <c r="AD139" i="2"/>
  <c r="AD138" i="2"/>
  <c r="AD137" i="2"/>
  <c r="AD136" i="2"/>
  <c r="AD135" i="2"/>
  <c r="AD134" i="2"/>
  <c r="AD133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AD2" i="2"/>
  <c r="AA171" i="2"/>
  <c r="AA170" i="2"/>
  <c r="AA169" i="2"/>
  <c r="AA168" i="2"/>
  <c r="AA167" i="2"/>
  <c r="AA166" i="2"/>
  <c r="AA165" i="2"/>
  <c r="AA164" i="2"/>
  <c r="AA163" i="2"/>
  <c r="AA162" i="2"/>
  <c r="AA161" i="2"/>
  <c r="AA160" i="2"/>
  <c r="AA159" i="2"/>
  <c r="AA158" i="2"/>
  <c r="AA157" i="2"/>
  <c r="AA156" i="2"/>
  <c r="AA155" i="2"/>
  <c r="AA154" i="2"/>
  <c r="AA153" i="2"/>
  <c r="AA152" i="2"/>
  <c r="AA151" i="2"/>
  <c r="AA150" i="2"/>
  <c r="AA149" i="2"/>
  <c r="AA148" i="2"/>
  <c r="AA147" i="2"/>
  <c r="AA146" i="2"/>
  <c r="AA145" i="2"/>
  <c r="AA144" i="2"/>
  <c r="AA143" i="2"/>
  <c r="AA142" i="2"/>
  <c r="AA141" i="2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AA2" i="2"/>
  <c r="AB121" i="2"/>
  <c r="AB20" i="2"/>
  <c r="AB23" i="2"/>
  <c r="AB133" i="2"/>
  <c r="AB16" i="2"/>
  <c r="AB99" i="2"/>
  <c r="AB40" i="2"/>
  <c r="AB140" i="2"/>
  <c r="AB86" i="2"/>
  <c r="AB26" i="2"/>
  <c r="AB151" i="2"/>
  <c r="AB65" i="2"/>
  <c r="AB8" i="2"/>
  <c r="AB144" i="2"/>
  <c r="AB32" i="2"/>
  <c r="AB75" i="2"/>
  <c r="AB11" i="2"/>
  <c r="AB78" i="2"/>
  <c r="AB35" i="2"/>
  <c r="AB71" i="2"/>
  <c r="AB167" i="2"/>
  <c r="AB69" i="2"/>
  <c r="AB19" i="2"/>
  <c r="AB64" i="2"/>
  <c r="AB154" i="2"/>
  <c r="AB54" i="2"/>
  <c r="AB112" i="2"/>
  <c r="AB90" i="2"/>
  <c r="AB120" i="2"/>
  <c r="AB63" i="2"/>
  <c r="AB25" i="2"/>
  <c r="AB10" i="2"/>
  <c r="AB62" i="2"/>
  <c r="AB49" i="2"/>
  <c r="AB48" i="2"/>
  <c r="AB107" i="2"/>
  <c r="AB22" i="2"/>
  <c r="AB116" i="2"/>
  <c r="AB122" i="2"/>
  <c r="AB132" i="2"/>
  <c r="AB115" i="2"/>
  <c r="AB53" i="2"/>
  <c r="AB61" i="2"/>
  <c r="AB104" i="2"/>
  <c r="AB166" i="2"/>
  <c r="AB4" i="2"/>
  <c r="AB38" i="2"/>
  <c r="AB72" i="2"/>
  <c r="AB171" i="2"/>
  <c r="AB24" i="2"/>
  <c r="AB169" i="2"/>
  <c r="AB158" i="2"/>
  <c r="AB119" i="2"/>
  <c r="AB31" i="2"/>
  <c r="AB143" i="2"/>
  <c r="AB134" i="2"/>
  <c r="AB139" i="2"/>
  <c r="AB21" i="2"/>
  <c r="AB12" i="2"/>
  <c r="AB85" i="2"/>
  <c r="AB47" i="2"/>
  <c r="AB68" i="2"/>
  <c r="AB131" i="2"/>
  <c r="AB37" i="2"/>
  <c r="AB148" i="2"/>
  <c r="AB149" i="2"/>
  <c r="AB103" i="2"/>
  <c r="AB127" i="2"/>
  <c r="AB109" i="2"/>
  <c r="AB96" i="2"/>
  <c r="AB52" i="2"/>
  <c r="AB165" i="2"/>
  <c r="AB51" i="2"/>
  <c r="AB60" i="2"/>
  <c r="AB152" i="2"/>
  <c r="AB34" i="2"/>
  <c r="AB18" i="2"/>
  <c r="AB113" i="2"/>
  <c r="AB36" i="2"/>
  <c r="AB6" i="2"/>
  <c r="AB84" i="2"/>
  <c r="AB76" i="2"/>
  <c r="AB95" i="2"/>
  <c r="AB89" i="2"/>
  <c r="AB98" i="2"/>
  <c r="AB50" i="2"/>
  <c r="AB157" i="2"/>
  <c r="AB118" i="2"/>
  <c r="AB145" i="2"/>
  <c r="AB138" i="2"/>
  <c r="AB150" i="2"/>
  <c r="AB73" i="2"/>
  <c r="AB2" i="2"/>
  <c r="AB117" i="2"/>
  <c r="AB147" i="2"/>
  <c r="AB155" i="2"/>
  <c r="AB77" i="2"/>
  <c r="AB30" i="2"/>
  <c r="AB114" i="2"/>
  <c r="AB94" i="2"/>
  <c r="AB46" i="2"/>
  <c r="AB13" i="2"/>
  <c r="AB130" i="2"/>
  <c r="AB59" i="2"/>
  <c r="AB137" i="2"/>
  <c r="AB9" i="2"/>
  <c r="AB106" i="2"/>
  <c r="AB168" i="2"/>
  <c r="AB45" i="2"/>
  <c r="AB105" i="2"/>
  <c r="AB101" i="2"/>
  <c r="AB87" i="2"/>
  <c r="AB7" i="2"/>
  <c r="AB67" i="2"/>
  <c r="AB156" i="2"/>
  <c r="AB126" i="2"/>
  <c r="AB129" i="2"/>
  <c r="AB80" i="2"/>
  <c r="AB74" i="2"/>
  <c r="AB58" i="2"/>
  <c r="AB57" i="2"/>
  <c r="AB125" i="2"/>
  <c r="AB17" i="2"/>
  <c r="AB162" i="2"/>
  <c r="AB28" i="2"/>
  <c r="AB102" i="2"/>
  <c r="AB108" i="2"/>
  <c r="AB170" i="2"/>
  <c r="AB146" i="2"/>
  <c r="AB124" i="2"/>
  <c r="AB100" i="2"/>
  <c r="AB82" i="2"/>
  <c r="AB14" i="2"/>
  <c r="AB93" i="2"/>
  <c r="AB142" i="2"/>
  <c r="AB66" i="2"/>
  <c r="AB44" i="2"/>
  <c r="AB164" i="2"/>
  <c r="AB161" i="2"/>
  <c r="AB160" i="2"/>
  <c r="AB83" i="2"/>
  <c r="AB136" i="2"/>
  <c r="AB43" i="2"/>
  <c r="AB42" i="2"/>
  <c r="AB153" i="2"/>
  <c r="AB97" i="2"/>
  <c r="AB135" i="2"/>
  <c r="AB88" i="2"/>
  <c r="AB27" i="2"/>
  <c r="AB33" i="2"/>
  <c r="AB163" i="2"/>
  <c r="AB39" i="2"/>
  <c r="AB29" i="2"/>
  <c r="AB15" i="2"/>
  <c r="AB141" i="2"/>
  <c r="AB81" i="2"/>
  <c r="AB159" i="2"/>
  <c r="AB128" i="2"/>
  <c r="AB111" i="2"/>
  <c r="AB56" i="2"/>
  <c r="AB123" i="2"/>
  <c r="AB55" i="2"/>
  <c r="AB41" i="2"/>
  <c r="AB79" i="2"/>
  <c r="AB92" i="2"/>
  <c r="AB70" i="2"/>
  <c r="AB5" i="2"/>
  <c r="AB91" i="2"/>
  <c r="AB110" i="2"/>
  <c r="AB3" i="2"/>
  <c r="Z121" i="2"/>
  <c r="Y121" i="2"/>
  <c r="Z20" i="2"/>
  <c r="Y20" i="2"/>
  <c r="Z23" i="2"/>
  <c r="Y23" i="2"/>
  <c r="Z133" i="2"/>
  <c r="Y133" i="2"/>
  <c r="Z16" i="2"/>
  <c r="Y16" i="2"/>
  <c r="Z99" i="2"/>
  <c r="Y99" i="2"/>
  <c r="Z40" i="2"/>
  <c r="Y40" i="2"/>
  <c r="Z140" i="2"/>
  <c r="Y140" i="2"/>
  <c r="Z86" i="2"/>
  <c r="Y86" i="2"/>
  <c r="Z26" i="2"/>
  <c r="Y26" i="2"/>
  <c r="Z151" i="2"/>
  <c r="Y151" i="2"/>
  <c r="Z65" i="2"/>
  <c r="Y65" i="2"/>
  <c r="Z8" i="2"/>
  <c r="Y8" i="2"/>
  <c r="Z144" i="2"/>
  <c r="Y144" i="2"/>
  <c r="Z32" i="2"/>
  <c r="Y32" i="2"/>
  <c r="Z75" i="2"/>
  <c r="Y75" i="2"/>
  <c r="Z11" i="2"/>
  <c r="Y11" i="2"/>
  <c r="Z78" i="2"/>
  <c r="Y78" i="2"/>
  <c r="Z35" i="2"/>
  <c r="Y35" i="2"/>
  <c r="Z71" i="2"/>
  <c r="Y71" i="2"/>
  <c r="Z167" i="2"/>
  <c r="Y167" i="2"/>
  <c r="Z69" i="2"/>
  <c r="Y69" i="2"/>
  <c r="Z19" i="2"/>
  <c r="Y19" i="2"/>
  <c r="Z64" i="2"/>
  <c r="Y64" i="2"/>
  <c r="Z154" i="2"/>
  <c r="Y154" i="2"/>
  <c r="Z54" i="2"/>
  <c r="Y54" i="2"/>
  <c r="Z112" i="2"/>
  <c r="Y112" i="2"/>
  <c r="Z90" i="2"/>
  <c r="Y90" i="2"/>
  <c r="Z120" i="2"/>
  <c r="Y120" i="2"/>
  <c r="Z63" i="2"/>
  <c r="Y63" i="2"/>
  <c r="Z25" i="2"/>
  <c r="Y25" i="2"/>
  <c r="Z10" i="2"/>
  <c r="Y10" i="2"/>
  <c r="Z62" i="2"/>
  <c r="Y62" i="2"/>
  <c r="Z49" i="2"/>
  <c r="Y49" i="2"/>
  <c r="Z48" i="2"/>
  <c r="Y48" i="2"/>
  <c r="Z107" i="2"/>
  <c r="Y107" i="2"/>
  <c r="Z22" i="2"/>
  <c r="Y22" i="2"/>
  <c r="Z116" i="2"/>
  <c r="Y116" i="2"/>
  <c r="Z122" i="2"/>
  <c r="Y122" i="2"/>
  <c r="Z132" i="2"/>
  <c r="Y132" i="2"/>
  <c r="Z115" i="2"/>
  <c r="Y115" i="2"/>
  <c r="Z53" i="2"/>
  <c r="Y53" i="2"/>
  <c r="Z61" i="2"/>
  <c r="Y61" i="2"/>
  <c r="Z104" i="2"/>
  <c r="Y104" i="2"/>
  <c r="Z166" i="2"/>
  <c r="Y166" i="2"/>
  <c r="Z4" i="2"/>
  <c r="Y4" i="2"/>
  <c r="Z38" i="2"/>
  <c r="Y38" i="2"/>
  <c r="Z72" i="2"/>
  <c r="Y72" i="2"/>
  <c r="Z171" i="2"/>
  <c r="Y171" i="2"/>
  <c r="Z24" i="2"/>
  <c r="Y24" i="2"/>
  <c r="Z169" i="2"/>
  <c r="Y169" i="2"/>
  <c r="Z158" i="2"/>
  <c r="Y158" i="2"/>
  <c r="Z119" i="2"/>
  <c r="Y119" i="2"/>
  <c r="Z31" i="2"/>
  <c r="Y31" i="2"/>
  <c r="Z143" i="2"/>
  <c r="Y143" i="2"/>
  <c r="Z134" i="2"/>
  <c r="Y134" i="2"/>
  <c r="Z139" i="2"/>
  <c r="Y139" i="2"/>
  <c r="Z21" i="2"/>
  <c r="Y21" i="2"/>
  <c r="Z12" i="2"/>
  <c r="Y12" i="2"/>
  <c r="Z85" i="2"/>
  <c r="Y85" i="2"/>
  <c r="Z47" i="2"/>
  <c r="Y47" i="2"/>
  <c r="Z68" i="2"/>
  <c r="Y68" i="2"/>
  <c r="Z131" i="2"/>
  <c r="Y131" i="2"/>
  <c r="Z37" i="2"/>
  <c r="Y37" i="2"/>
  <c r="Z148" i="2"/>
  <c r="Y148" i="2"/>
  <c r="Z149" i="2"/>
  <c r="Y149" i="2"/>
  <c r="Z103" i="2"/>
  <c r="Y103" i="2"/>
  <c r="Z127" i="2"/>
  <c r="Y127" i="2"/>
  <c r="Z109" i="2"/>
  <c r="Y109" i="2"/>
  <c r="Z96" i="2"/>
  <c r="Y96" i="2"/>
  <c r="Z52" i="2"/>
  <c r="Y52" i="2"/>
  <c r="Z165" i="2"/>
  <c r="Y165" i="2"/>
  <c r="Z51" i="2"/>
  <c r="Y51" i="2"/>
  <c r="Z60" i="2"/>
  <c r="Y60" i="2"/>
  <c r="Z152" i="2"/>
  <c r="Y152" i="2"/>
  <c r="Z34" i="2"/>
  <c r="Y34" i="2"/>
  <c r="Z18" i="2"/>
  <c r="Y18" i="2"/>
  <c r="Z113" i="2"/>
  <c r="Y113" i="2"/>
  <c r="Z36" i="2"/>
  <c r="Y36" i="2"/>
  <c r="Z6" i="2"/>
  <c r="Y6" i="2"/>
  <c r="Z84" i="2"/>
  <c r="Y84" i="2"/>
  <c r="Z76" i="2"/>
  <c r="Y76" i="2"/>
  <c r="Z95" i="2"/>
  <c r="Y95" i="2"/>
  <c r="Z89" i="2"/>
  <c r="Y89" i="2"/>
  <c r="Z98" i="2"/>
  <c r="Y98" i="2"/>
  <c r="Z50" i="2"/>
  <c r="Y50" i="2"/>
  <c r="Z157" i="2"/>
  <c r="Y157" i="2"/>
  <c r="Z118" i="2"/>
  <c r="Y118" i="2"/>
  <c r="Z145" i="2"/>
  <c r="Y145" i="2"/>
  <c r="Z138" i="2"/>
  <c r="Y138" i="2"/>
  <c r="Z150" i="2"/>
  <c r="Y150" i="2"/>
  <c r="Z73" i="2"/>
  <c r="Y73" i="2"/>
  <c r="Z2" i="2"/>
  <c r="Y2" i="2"/>
  <c r="Z117" i="2"/>
  <c r="Y117" i="2"/>
  <c r="Z147" i="2"/>
  <c r="Y147" i="2"/>
  <c r="Z155" i="2"/>
  <c r="Y155" i="2"/>
  <c r="Z77" i="2"/>
  <c r="Y77" i="2"/>
  <c r="Z30" i="2"/>
  <c r="Y30" i="2"/>
  <c r="Z114" i="2"/>
  <c r="Y114" i="2"/>
  <c r="Z94" i="2"/>
  <c r="Y94" i="2"/>
  <c r="Z46" i="2"/>
  <c r="Y46" i="2"/>
  <c r="Z13" i="2"/>
  <c r="Y13" i="2"/>
  <c r="Z130" i="2"/>
  <c r="Y130" i="2"/>
  <c r="Z59" i="2"/>
  <c r="Y59" i="2"/>
  <c r="Z137" i="2"/>
  <c r="Y137" i="2"/>
  <c r="Z9" i="2"/>
  <c r="Y9" i="2"/>
  <c r="Z106" i="2"/>
  <c r="Y106" i="2"/>
  <c r="Z168" i="2"/>
  <c r="Y168" i="2"/>
  <c r="Z45" i="2"/>
  <c r="Y45" i="2"/>
  <c r="Z105" i="2"/>
  <c r="Y105" i="2"/>
  <c r="Z101" i="2"/>
  <c r="Y101" i="2"/>
  <c r="Z87" i="2"/>
  <c r="Y87" i="2"/>
  <c r="Z7" i="2"/>
  <c r="Y7" i="2"/>
  <c r="Z67" i="2"/>
  <c r="Y67" i="2"/>
  <c r="Z156" i="2"/>
  <c r="Y156" i="2"/>
  <c r="Z126" i="2"/>
  <c r="Y126" i="2"/>
  <c r="Z129" i="2"/>
  <c r="Y129" i="2"/>
  <c r="Z80" i="2"/>
  <c r="Y80" i="2"/>
  <c r="Z74" i="2"/>
  <c r="Y74" i="2"/>
  <c r="Z58" i="2"/>
  <c r="Y58" i="2"/>
  <c r="Z57" i="2"/>
  <c r="Y57" i="2"/>
  <c r="Z125" i="2"/>
  <c r="Y125" i="2"/>
  <c r="Z17" i="2"/>
  <c r="Y17" i="2"/>
  <c r="Z162" i="2"/>
  <c r="Y162" i="2"/>
  <c r="Z28" i="2"/>
  <c r="Y28" i="2"/>
  <c r="Z102" i="2"/>
  <c r="Y102" i="2"/>
  <c r="Z108" i="2"/>
  <c r="Y108" i="2"/>
  <c r="Z170" i="2"/>
  <c r="Y170" i="2"/>
  <c r="Z146" i="2"/>
  <c r="Y146" i="2"/>
  <c r="Z124" i="2"/>
  <c r="Y124" i="2"/>
  <c r="Z100" i="2"/>
  <c r="Y100" i="2"/>
  <c r="Z82" i="2"/>
  <c r="Y82" i="2"/>
  <c r="Z14" i="2"/>
  <c r="Y14" i="2"/>
  <c r="Z93" i="2"/>
  <c r="Y93" i="2"/>
  <c r="Z142" i="2"/>
  <c r="Y142" i="2"/>
  <c r="Z66" i="2"/>
  <c r="Y66" i="2"/>
  <c r="Z44" i="2"/>
  <c r="Y44" i="2"/>
  <c r="Z164" i="2"/>
  <c r="Y164" i="2"/>
  <c r="Z161" i="2"/>
  <c r="Y161" i="2"/>
  <c r="Z160" i="2"/>
  <c r="Y160" i="2"/>
  <c r="Z83" i="2"/>
  <c r="Y83" i="2"/>
  <c r="Z136" i="2"/>
  <c r="Y136" i="2"/>
  <c r="Z43" i="2"/>
  <c r="Y43" i="2"/>
  <c r="Z42" i="2"/>
  <c r="Y42" i="2"/>
  <c r="Z153" i="2"/>
  <c r="Y153" i="2"/>
  <c r="Z97" i="2"/>
  <c r="Y97" i="2"/>
  <c r="Z135" i="2"/>
  <c r="Y135" i="2"/>
  <c r="Z88" i="2"/>
  <c r="Y88" i="2"/>
  <c r="Z27" i="2"/>
  <c r="Y27" i="2"/>
  <c r="Z33" i="2"/>
  <c r="Y33" i="2"/>
  <c r="Z163" i="2"/>
  <c r="Y163" i="2"/>
  <c r="Z39" i="2"/>
  <c r="Y39" i="2"/>
  <c r="Z29" i="2"/>
  <c r="Y29" i="2"/>
  <c r="Z15" i="2"/>
  <c r="Y15" i="2"/>
  <c r="Z141" i="2"/>
  <c r="Y141" i="2"/>
  <c r="Z81" i="2"/>
  <c r="Y81" i="2"/>
  <c r="Z159" i="2"/>
  <c r="Y159" i="2"/>
  <c r="Z128" i="2"/>
  <c r="Y128" i="2"/>
  <c r="Z111" i="2"/>
  <c r="Y111" i="2"/>
  <c r="Z56" i="2"/>
  <c r="Y56" i="2"/>
  <c r="Z123" i="2"/>
  <c r="Y123" i="2"/>
  <c r="Z55" i="2"/>
  <c r="Y55" i="2"/>
  <c r="Z41" i="2"/>
  <c r="Y41" i="2"/>
  <c r="Z79" i="2"/>
  <c r="Y79" i="2"/>
  <c r="Z92" i="2"/>
  <c r="Y92" i="2"/>
  <c r="Z70" i="2"/>
  <c r="Y70" i="2"/>
  <c r="Z5" i="2"/>
  <c r="Y5" i="2"/>
  <c r="Z91" i="2"/>
  <c r="Y91" i="2"/>
  <c r="Z110" i="2"/>
  <c r="Y110" i="2"/>
  <c r="Z3" i="2"/>
  <c r="Y3" i="2"/>
  <c r="Z125" i="1"/>
  <c r="Y125" i="1"/>
  <c r="Z181" i="1"/>
  <c r="Y181" i="1"/>
  <c r="Z180" i="1"/>
  <c r="Y180" i="1"/>
  <c r="Z179" i="1"/>
  <c r="Y179" i="1"/>
  <c r="Z178" i="1"/>
  <c r="Y178" i="1"/>
  <c r="Z64" i="1"/>
  <c r="Y64" i="1"/>
  <c r="Z63" i="1"/>
  <c r="Y63" i="1"/>
  <c r="Z62" i="1"/>
  <c r="Y62" i="1"/>
  <c r="Z176" i="1"/>
  <c r="Y176" i="1"/>
  <c r="Z175" i="1"/>
  <c r="Y175" i="1"/>
  <c r="Z96" i="1"/>
  <c r="Y96" i="1"/>
  <c r="Z218" i="1"/>
  <c r="Y218" i="1"/>
  <c r="Z217" i="1"/>
  <c r="Y217" i="1"/>
  <c r="Z186" i="1"/>
  <c r="Y186" i="1"/>
  <c r="Z185" i="1"/>
  <c r="Y185" i="1"/>
  <c r="Z144" i="1"/>
  <c r="Y144" i="1"/>
  <c r="Z143" i="1"/>
  <c r="Y143" i="1"/>
  <c r="Z49" i="1"/>
  <c r="Y49" i="1"/>
  <c r="Z34" i="1"/>
  <c r="Y34" i="1"/>
  <c r="Z33" i="1"/>
  <c r="Y33" i="1"/>
  <c r="Z32" i="1"/>
  <c r="Y32" i="1"/>
  <c r="Z70" i="1"/>
  <c r="Y70" i="1"/>
  <c r="Z69" i="1"/>
  <c r="Y69" i="1"/>
  <c r="Z48" i="1"/>
  <c r="Y48" i="1"/>
  <c r="Z47" i="1"/>
  <c r="Y47" i="1"/>
  <c r="Z22" i="1"/>
  <c r="Y22" i="1"/>
  <c r="Z174" i="1"/>
  <c r="Y174" i="1"/>
  <c r="Z121" i="1"/>
  <c r="Y121" i="1"/>
  <c r="Z120" i="1"/>
  <c r="Y120" i="1"/>
  <c r="Z82" i="1"/>
  <c r="Y82" i="1"/>
  <c r="Z81" i="1"/>
  <c r="Y81" i="1"/>
  <c r="Z109" i="1"/>
  <c r="Y109" i="1"/>
  <c r="Z213" i="1"/>
  <c r="Y213" i="1"/>
  <c r="Z41" i="1"/>
  <c r="Y41" i="1"/>
  <c r="Z40" i="1"/>
  <c r="Y40" i="1"/>
  <c r="Z140" i="1"/>
  <c r="Y140" i="1"/>
  <c r="Z234" i="1"/>
  <c r="Y234" i="1"/>
  <c r="Z233" i="1"/>
  <c r="Y233" i="1"/>
  <c r="Z115" i="1"/>
  <c r="Y115" i="1"/>
  <c r="Z156" i="1"/>
  <c r="Y156" i="1"/>
  <c r="Z155" i="1"/>
  <c r="Y155" i="1"/>
  <c r="Z157" i="1"/>
  <c r="Y157" i="1"/>
  <c r="Z110" i="1"/>
  <c r="Y110" i="1"/>
  <c r="Z61" i="1"/>
  <c r="Y61" i="1"/>
  <c r="Z118" i="1"/>
  <c r="Y118" i="1"/>
  <c r="Z229" i="1"/>
  <c r="Y229" i="1"/>
  <c r="Z228" i="1"/>
  <c r="Y228" i="1"/>
  <c r="Z171" i="1"/>
  <c r="Y171" i="1"/>
  <c r="Z54" i="1"/>
  <c r="Y54" i="1"/>
  <c r="Z53" i="1"/>
  <c r="Y53" i="1"/>
  <c r="Z26" i="1"/>
  <c r="Y26" i="1"/>
  <c r="Z25" i="1"/>
  <c r="Y25" i="1"/>
  <c r="Z237" i="1"/>
  <c r="Y237" i="1"/>
  <c r="Z169" i="1"/>
  <c r="Y169" i="1"/>
  <c r="Z117" i="1"/>
  <c r="Y117" i="1"/>
  <c r="Z116" i="1"/>
  <c r="Y116" i="1"/>
  <c r="Z100" i="1"/>
  <c r="Y100" i="1"/>
  <c r="Z44" i="1"/>
  <c r="Y44" i="1"/>
  <c r="Z38" i="1"/>
  <c r="Y38" i="1"/>
  <c r="Z170" i="1"/>
  <c r="Y170" i="1"/>
  <c r="Z243" i="1"/>
  <c r="Y243" i="1"/>
  <c r="Z193" i="1"/>
  <c r="Y193" i="1"/>
  <c r="Z160" i="1"/>
  <c r="Y160" i="1"/>
  <c r="Z102" i="1"/>
  <c r="Y102" i="1"/>
  <c r="Z78" i="1"/>
  <c r="Y78" i="1"/>
  <c r="Z77" i="1"/>
  <c r="Y77" i="1"/>
  <c r="Z21" i="1"/>
  <c r="Y21" i="1"/>
  <c r="Z20" i="1"/>
  <c r="Y20" i="1"/>
  <c r="Z152" i="1"/>
  <c r="Y152" i="1"/>
  <c r="Z151" i="1"/>
  <c r="Y151" i="1"/>
  <c r="Z80" i="1"/>
  <c r="Y80" i="1"/>
  <c r="Z79" i="1"/>
  <c r="Y79" i="1"/>
  <c r="Z72" i="1"/>
  <c r="Y72" i="1"/>
  <c r="Z60" i="1"/>
  <c r="Y60" i="1"/>
  <c r="Z16" i="1"/>
  <c r="Y16" i="1"/>
  <c r="Z15" i="1"/>
  <c r="Y15" i="1"/>
  <c r="Z14" i="1"/>
  <c r="Y14" i="1"/>
  <c r="Z194" i="1"/>
  <c r="Y194" i="1"/>
  <c r="Z249" i="1"/>
  <c r="Y249" i="1"/>
  <c r="Z248" i="1"/>
  <c r="Y248" i="1"/>
  <c r="Z207" i="1"/>
  <c r="Y207" i="1"/>
  <c r="Z206" i="1"/>
  <c r="Y206" i="1"/>
  <c r="Z173" i="1"/>
  <c r="Y173" i="1"/>
  <c r="Z119" i="1"/>
  <c r="Y119" i="1"/>
  <c r="Z111" i="1"/>
  <c r="Y111" i="1"/>
  <c r="Z195" i="1"/>
  <c r="Y195" i="1"/>
  <c r="Z192" i="1"/>
  <c r="Y192" i="1"/>
  <c r="Z191" i="1"/>
  <c r="Y191" i="1"/>
  <c r="Z106" i="1"/>
  <c r="Y106" i="1"/>
  <c r="Z135" i="1"/>
  <c r="Y135" i="1"/>
  <c r="Z211" i="1"/>
  <c r="Y211" i="1"/>
  <c r="Z210" i="1"/>
  <c r="Y210" i="1"/>
  <c r="Z19" i="1"/>
  <c r="Y19" i="1"/>
  <c r="Z4" i="1"/>
  <c r="Y4" i="1"/>
  <c r="Z150" i="1"/>
  <c r="Y150" i="1"/>
  <c r="Z149" i="1"/>
  <c r="Y149" i="1"/>
  <c r="Z65" i="1"/>
  <c r="Y65" i="1"/>
  <c r="Z197" i="1"/>
  <c r="Y197" i="1"/>
  <c r="Z97" i="1"/>
  <c r="Y97" i="1"/>
  <c r="Z94" i="1"/>
  <c r="Y94" i="1"/>
  <c r="Z93" i="1"/>
  <c r="Y93" i="1"/>
  <c r="Z92" i="1"/>
  <c r="Y92" i="1"/>
  <c r="Z91" i="1"/>
  <c r="Y91" i="1"/>
  <c r="Z187" i="1"/>
  <c r="Y187" i="1"/>
  <c r="Z154" i="1"/>
  <c r="Y154" i="1"/>
  <c r="Z153" i="1"/>
  <c r="Y153" i="1"/>
  <c r="Z66" i="1"/>
  <c r="Y66" i="1"/>
  <c r="Z90" i="1"/>
  <c r="Y90" i="1"/>
  <c r="Z89" i="1"/>
  <c r="Y89" i="1"/>
  <c r="Z88" i="1"/>
  <c r="Y88" i="1"/>
  <c r="Z59" i="1"/>
  <c r="Y59" i="1"/>
  <c r="Z58" i="1"/>
  <c r="Y58" i="1"/>
  <c r="Z239" i="1"/>
  <c r="Y239" i="1"/>
  <c r="Z123" i="1"/>
  <c r="Y123" i="1"/>
  <c r="Z39" i="1"/>
  <c r="Y39" i="1"/>
  <c r="Z148" i="1"/>
  <c r="Y148" i="1"/>
  <c r="Z147" i="1"/>
  <c r="Y147" i="1"/>
  <c r="Z126" i="1"/>
  <c r="Y126" i="1"/>
  <c r="Z105" i="1"/>
  <c r="Y105" i="1"/>
  <c r="Z55" i="1"/>
  <c r="Y55" i="1"/>
  <c r="Z9" i="1"/>
  <c r="Y9" i="1"/>
  <c r="Z6" i="1"/>
  <c r="Y6" i="1"/>
  <c r="Z5" i="1"/>
  <c r="Y5" i="1"/>
  <c r="Z209" i="1"/>
  <c r="Y209" i="1"/>
  <c r="Z208" i="1"/>
  <c r="Y208" i="1"/>
  <c r="Z124" i="1"/>
  <c r="Y124" i="1"/>
  <c r="Z37" i="1"/>
  <c r="Y37" i="1"/>
  <c r="Z87" i="1"/>
  <c r="Y87" i="1"/>
  <c r="Z236" i="1"/>
  <c r="Y236" i="1"/>
  <c r="Z164" i="1"/>
  <c r="Y164" i="1"/>
  <c r="Z163" i="1"/>
  <c r="Y163" i="1"/>
  <c r="Z130" i="1"/>
  <c r="Y130" i="1"/>
  <c r="Z129" i="1"/>
  <c r="Y129" i="1"/>
  <c r="Z46" i="1"/>
  <c r="Y46" i="1"/>
  <c r="Z45" i="1"/>
  <c r="Y45" i="1"/>
  <c r="Z57" i="1"/>
  <c r="Y57" i="1"/>
  <c r="Z24" i="1"/>
  <c r="Y24" i="1"/>
  <c r="Z23" i="1"/>
  <c r="Y23" i="1"/>
  <c r="Z76" i="1"/>
  <c r="Y76" i="1"/>
  <c r="Z11" i="1"/>
  <c r="Y11" i="1"/>
  <c r="Z10" i="1"/>
  <c r="Y10" i="1"/>
  <c r="Z222" i="1"/>
  <c r="Y222" i="1"/>
  <c r="Z221" i="1"/>
  <c r="Y221" i="1"/>
  <c r="Z108" i="1"/>
  <c r="Y108" i="1"/>
  <c r="Z128" i="1"/>
  <c r="Y128" i="1"/>
  <c r="Z127" i="1"/>
  <c r="Y127" i="1"/>
  <c r="Z226" i="1"/>
  <c r="Y226" i="1"/>
  <c r="Z225" i="1"/>
  <c r="Y225" i="1"/>
  <c r="Z75" i="1"/>
  <c r="Y75" i="1"/>
  <c r="Z114" i="1"/>
  <c r="Y114" i="1"/>
  <c r="Z113" i="1"/>
  <c r="Y113" i="1"/>
  <c r="Z182" i="1"/>
  <c r="Y182" i="1"/>
  <c r="Z219" i="1"/>
  <c r="Y219" i="1"/>
  <c r="Z8" i="1"/>
  <c r="Y8" i="1"/>
  <c r="Z216" i="1"/>
  <c r="Y216" i="1"/>
  <c r="Z161" i="1"/>
  <c r="Y161" i="1"/>
  <c r="Z84" i="1"/>
  <c r="Y84" i="1"/>
  <c r="Z83" i="1"/>
  <c r="Y83" i="1"/>
  <c r="Z52" i="1"/>
  <c r="Y52" i="1"/>
  <c r="Z51" i="1"/>
  <c r="Y51" i="1"/>
  <c r="Z232" i="1"/>
  <c r="Y232" i="1"/>
  <c r="Z214" i="1"/>
  <c r="Y214" i="1"/>
  <c r="Z205" i="1"/>
  <c r="Y205" i="1"/>
  <c r="Z201" i="1"/>
  <c r="Y201" i="1"/>
  <c r="Z200" i="1"/>
  <c r="Y200" i="1"/>
  <c r="Z189" i="1"/>
  <c r="Y189" i="1"/>
  <c r="Z188" i="1"/>
  <c r="Y188" i="1"/>
  <c r="Z141" i="1"/>
  <c r="Y141" i="1"/>
  <c r="Z101" i="1"/>
  <c r="Y101" i="1"/>
  <c r="Z74" i="1"/>
  <c r="Y74" i="1"/>
  <c r="Z73" i="1"/>
  <c r="Y73" i="1"/>
  <c r="Z18" i="1"/>
  <c r="Y18" i="1"/>
  <c r="Z17" i="1"/>
  <c r="Y17" i="1"/>
  <c r="Z13" i="1"/>
  <c r="Y13" i="1"/>
  <c r="Z212" i="1"/>
  <c r="Y212" i="1"/>
  <c r="Z190" i="1"/>
  <c r="Y190" i="1"/>
  <c r="Z146" i="1"/>
  <c r="Y146" i="1"/>
  <c r="Z145" i="1"/>
  <c r="Y145" i="1"/>
  <c r="Z142" i="1"/>
  <c r="Y142" i="1"/>
  <c r="Z122" i="1"/>
  <c r="Y122" i="1"/>
  <c r="Z199" i="1"/>
  <c r="Y199" i="1"/>
  <c r="Z198" i="1"/>
  <c r="Y198" i="1"/>
  <c r="Z162" i="1"/>
  <c r="Y162" i="1"/>
  <c r="Z104" i="1"/>
  <c r="Y104" i="1"/>
  <c r="Z95" i="1"/>
  <c r="Y95" i="1"/>
  <c r="Z50" i="1"/>
  <c r="Y50" i="1"/>
  <c r="Z43" i="1"/>
  <c r="Y43" i="1"/>
  <c r="Z42" i="1"/>
  <c r="Y42" i="1"/>
  <c r="Z12" i="1"/>
  <c r="Y12" i="1"/>
  <c r="Z238" i="1"/>
  <c r="Y238" i="1"/>
  <c r="Z31" i="1"/>
  <c r="Y31" i="1"/>
  <c r="Z30" i="1"/>
  <c r="Y30" i="1"/>
  <c r="Z183" i="1"/>
  <c r="Y183" i="1"/>
  <c r="Z159" i="1"/>
  <c r="Y159" i="1"/>
  <c r="Z158" i="1"/>
  <c r="Y158" i="1"/>
  <c r="Z134" i="1"/>
  <c r="Y134" i="1"/>
  <c r="Z133" i="1"/>
  <c r="Y133" i="1"/>
  <c r="Z220" i="1"/>
  <c r="Y220" i="1"/>
  <c r="Z139" i="1"/>
  <c r="Y139" i="1"/>
  <c r="Z138" i="1"/>
  <c r="Y138" i="1"/>
  <c r="Z35" i="1"/>
  <c r="Y35" i="1"/>
  <c r="Z227" i="1"/>
  <c r="Y227" i="1"/>
  <c r="Z172" i="1"/>
  <c r="Y172" i="1"/>
  <c r="Z107" i="1"/>
  <c r="Y107" i="1"/>
  <c r="Z29" i="1"/>
  <c r="Y29" i="1"/>
  <c r="Z28" i="1"/>
  <c r="Y28" i="1"/>
  <c r="Z68" i="1"/>
  <c r="Y68" i="1"/>
  <c r="Z67" i="1"/>
  <c r="Y67" i="1"/>
  <c r="Z36" i="1"/>
  <c r="Y36" i="1"/>
  <c r="Z235" i="1"/>
  <c r="Y235" i="1"/>
  <c r="Z204" i="1"/>
  <c r="Y204" i="1"/>
  <c r="Z177" i="1"/>
  <c r="Y177" i="1"/>
  <c r="Z245" i="1"/>
  <c r="Y245" i="1"/>
  <c r="Z244" i="1"/>
  <c r="Y244" i="1"/>
  <c r="Z196" i="1"/>
  <c r="Y196" i="1"/>
  <c r="Z168" i="1"/>
  <c r="Y168" i="1"/>
  <c r="Z167" i="1"/>
  <c r="Y167" i="1"/>
  <c r="Z247" i="1"/>
  <c r="Y247" i="1"/>
  <c r="Z246" i="1"/>
  <c r="Y246" i="1"/>
  <c r="Z215" i="1"/>
  <c r="Y215" i="1"/>
  <c r="Z137" i="1"/>
  <c r="Y137" i="1"/>
  <c r="Z136" i="1"/>
  <c r="Y136" i="1"/>
  <c r="Z71" i="1"/>
  <c r="Y71" i="1"/>
  <c r="Z242" i="1"/>
  <c r="Y242" i="1"/>
  <c r="Z241" i="1"/>
  <c r="Y241" i="1"/>
  <c r="Z240" i="1"/>
  <c r="Y240" i="1"/>
  <c r="Z27" i="1"/>
  <c r="Y27" i="1"/>
  <c r="Z56" i="1"/>
  <c r="Y56" i="1"/>
  <c r="Z103" i="1"/>
  <c r="Y103" i="1"/>
  <c r="Z166" i="1"/>
  <c r="Y166" i="1"/>
  <c r="Z165" i="1"/>
  <c r="Y165" i="1"/>
  <c r="Z224" i="1"/>
  <c r="Y224" i="1"/>
  <c r="Z223" i="1"/>
  <c r="Y223" i="1"/>
  <c r="Z203" i="1"/>
  <c r="Y203" i="1"/>
  <c r="Z202" i="1"/>
  <c r="Y202" i="1"/>
  <c r="Z99" i="1"/>
  <c r="Y99" i="1"/>
  <c r="Z98" i="1"/>
  <c r="Y98" i="1"/>
  <c r="Z231" i="1"/>
  <c r="Y231" i="1"/>
  <c r="Z230" i="1"/>
  <c r="Y230" i="1"/>
  <c r="Z86" i="1"/>
  <c r="Y86" i="1"/>
  <c r="Z85" i="1"/>
  <c r="Y85" i="1"/>
  <c r="Z132" i="1"/>
  <c r="Y132" i="1"/>
  <c r="Z131" i="1"/>
  <c r="Y131" i="1"/>
  <c r="Z7" i="1"/>
  <c r="Y7" i="1"/>
  <c r="Z184" i="1"/>
  <c r="Y184" i="1"/>
  <c r="Z3" i="1"/>
  <c r="Y3" i="1"/>
  <c r="Z2" i="1"/>
  <c r="Y2" i="1"/>
  <c r="Z112" i="1"/>
  <c r="Y112" i="1"/>
  <c r="AF44" i="5" l="1"/>
  <c r="AA38" i="5"/>
  <c r="Y40" i="5"/>
  <c r="AB44" i="5"/>
  <c r="Z46" i="5"/>
  <c r="Y54" i="5"/>
  <c r="Y37" i="5"/>
  <c r="AB38" i="5"/>
  <c r="Z40" i="5"/>
  <c r="AA46" i="5"/>
  <c r="Y51" i="5"/>
  <c r="Z54" i="5"/>
  <c r="AF46" i="5"/>
  <c r="Z37" i="5"/>
  <c r="AA40" i="5"/>
  <c r="Y45" i="5"/>
  <c r="AB46" i="5"/>
  <c r="Z51" i="5"/>
  <c r="AA54" i="5"/>
  <c r="AF52" i="5"/>
  <c r="Y44" i="5"/>
  <c r="Y38" i="5"/>
  <c r="Z44" i="5"/>
  <c r="Y52" i="5"/>
  <c r="AF54" i="5"/>
  <c r="Z52" i="5"/>
  <c r="AA52" i="5"/>
  <c r="S53" i="5"/>
  <c r="R44" i="5"/>
  <c r="S52" i="5"/>
  <c r="R46" i="5"/>
  <c r="S46" i="5"/>
  <c r="S39" i="5"/>
  <c r="T39" i="5" s="1"/>
  <c r="R30" i="5"/>
  <c r="S30" i="5"/>
  <c r="S44" i="5"/>
  <c r="R32" i="5"/>
  <c r="S32" i="5"/>
  <c r="R37" i="5"/>
  <c r="R51" i="5"/>
  <c r="R54" i="5" s="1"/>
  <c r="S37" i="5"/>
  <c r="S51" i="5"/>
  <c r="S54" i="5" s="1"/>
  <c r="Q30" i="5"/>
  <c r="Q32" i="5"/>
  <c r="Q37" i="5"/>
  <c r="Q39" i="5"/>
  <c r="Q44" i="5"/>
  <c r="Q46" i="5"/>
  <c r="Q51" i="5"/>
  <c r="Q53" i="5"/>
  <c r="J30" i="5"/>
  <c r="M30" i="5" s="1"/>
  <c r="J32" i="5"/>
  <c r="J37" i="5"/>
  <c r="J39" i="5"/>
  <c r="J44" i="5"/>
  <c r="J46" i="5"/>
  <c r="J51" i="5"/>
  <c r="M51" i="5" s="1"/>
  <c r="L53" i="5"/>
  <c r="L54" i="5" s="1"/>
  <c r="K53" i="5"/>
  <c r="K54" i="5" s="1"/>
  <c r="K52" i="5"/>
  <c r="L52" i="5"/>
  <c r="Q38" i="5"/>
  <c r="Q40" i="5" s="1"/>
  <c r="Q52" i="5"/>
  <c r="J31" i="5"/>
  <c r="J38" i="5"/>
  <c r="J40" i="5" s="1"/>
  <c r="J45" i="5"/>
  <c r="J47" i="5" s="1"/>
  <c r="R31" i="5"/>
  <c r="R33" i="5" s="1"/>
  <c r="R38" i="5"/>
  <c r="R45" i="5"/>
  <c r="R47" i="5" s="1"/>
  <c r="K31" i="5"/>
  <c r="K33" i="5" s="1"/>
  <c r="K38" i="5"/>
  <c r="K40" i="5" s="1"/>
  <c r="K45" i="5"/>
  <c r="K47" i="5" s="1"/>
  <c r="Q31" i="5"/>
  <c r="Q45" i="5"/>
  <c r="S31" i="5"/>
  <c r="S33" i="5" s="1"/>
  <c r="S38" i="5"/>
  <c r="S45" i="5"/>
  <c r="L31" i="5"/>
  <c r="L38" i="5"/>
  <c r="L45" i="5"/>
  <c r="M45" i="5" s="1"/>
  <c r="J53" i="5"/>
  <c r="J54" i="5" s="1"/>
  <c r="M46" i="5"/>
  <c r="M39" i="5"/>
  <c r="M52" i="5"/>
  <c r="M32" i="5"/>
  <c r="M44" i="5"/>
  <c r="M37" i="5"/>
  <c r="F8" i="5"/>
  <c r="F9" i="5"/>
  <c r="F6" i="5"/>
  <c r="F7" i="5"/>
  <c r="F10" i="5"/>
  <c r="M31" i="5" l="1"/>
  <c r="J33" i="5"/>
  <c r="M38" i="5"/>
  <c r="Q54" i="5"/>
  <c r="S40" i="5"/>
  <c r="T40" i="5" s="1"/>
  <c r="T51" i="5"/>
  <c r="T53" i="5"/>
  <c r="T44" i="5"/>
  <c r="T37" i="5"/>
  <c r="T46" i="5"/>
  <c r="T32" i="5"/>
  <c r="T30" i="5"/>
  <c r="T52" i="5"/>
  <c r="T31" i="5"/>
  <c r="T38" i="5"/>
  <c r="T45" i="5"/>
  <c r="R40" i="5"/>
  <c r="Q33" i="5"/>
  <c r="Q47" i="5"/>
  <c r="L40" i="5"/>
  <c r="M40" i="5" s="1"/>
  <c r="L33" i="5"/>
  <c r="M33" i="5" s="1"/>
  <c r="S47" i="5"/>
  <c r="L47" i="5"/>
  <c r="M47" i="5" s="1"/>
  <c r="M53" i="5"/>
  <c r="M54" i="5"/>
  <c r="T33" i="5"/>
  <c r="T54" i="5"/>
  <c r="T47" i="5" l="1"/>
</calcChain>
</file>

<file path=xl/sharedStrings.xml><?xml version="1.0" encoding="utf-8"?>
<sst xmlns="http://schemas.openxmlformats.org/spreadsheetml/2006/main" count="2179" uniqueCount="485">
  <si>
    <t>nome_arquivo</t>
  </si>
  <si>
    <t>nome_projeto</t>
  </si>
  <si>
    <t>data_comite</t>
  </si>
  <si>
    <t>tipo_comite</t>
  </si>
  <si>
    <t>cenario</t>
  </si>
  <si>
    <t>unidades</t>
  </si>
  <si>
    <t>avaliacao_unit</t>
  </si>
  <si>
    <t>fracao_terreno_pct</t>
  </si>
  <si>
    <t>valor_rs_m2</t>
  </si>
  <si>
    <t>custo_construcao_rs</t>
  </si>
  <si>
    <t>custo_construcao_pct_vgv</t>
  </si>
  <si>
    <t>prazo_obra_meses</t>
  </si>
  <si>
    <t>custo_total_unit</t>
  </si>
  <si>
    <t>custo_adc_selling</t>
  </si>
  <si>
    <t>preco_nominal_unit</t>
  </si>
  <si>
    <t>preco_raso_unit</t>
  </si>
  <si>
    <t>li_pct</t>
  </si>
  <si>
    <t>li_regua_pct</t>
  </si>
  <si>
    <t>margem_bruta_economica_pct</t>
  </si>
  <si>
    <t>margem_rasa_economica_pct</t>
  </si>
  <si>
    <t>exposicao_rs_mil</t>
  </si>
  <si>
    <t>exposicao_pct_vgv</t>
  </si>
  <si>
    <t>renda</t>
  </si>
  <si>
    <t>pct_ret1</t>
  </si>
  <si>
    <t>pct_tcd</t>
  </si>
  <si>
    <t>raso_sobre_custo</t>
  </si>
  <si>
    <t>2025.01.13 - Jaguaribe Prime - Investimento 1.1.pdf</t>
  </si>
  <si>
    <t>Jaguaribe Prime</t>
  </si>
  <si>
    <t>13/01/2025</t>
  </si>
  <si>
    <t>Book de Investimento</t>
  </si>
  <si>
    <t>Aprovacao</t>
  </si>
  <si>
    <t>2025.01.20 - Acqua Danubio -Lançamento.pdf</t>
  </si>
  <si>
    <t>Acqua Danúbio</t>
  </si>
  <si>
    <t>20/01/2025</t>
  </si>
  <si>
    <t>Book de Lançamento</t>
  </si>
  <si>
    <t>Real</t>
  </si>
  <si>
    <t>2025.01.27 - Reserva dos Colibris (Investimento).pdf</t>
  </si>
  <si>
    <t>Reserva dos Colibris</t>
  </si>
  <si>
    <t>27/01/2025</t>
  </si>
  <si>
    <t>2025.02.14 - Altiplano Sunset - Investimento.pdf</t>
  </si>
  <si>
    <t>Altiplano Sunset</t>
  </si>
  <si>
    <t>10/02/2025</t>
  </si>
  <si>
    <t>2025.02.10- Melodia Jaçanã - Comitê Escritura +Lançamento - Respostas.pdf</t>
  </si>
  <si>
    <t>Melodia Jaçanã</t>
  </si>
  <si>
    <t>Book de Escritura e Lançamento</t>
  </si>
  <si>
    <t>17.02.2025 - Estância Dourados I - Lançamento 1.pdf</t>
  </si>
  <si>
    <t>Estância Dourados I</t>
  </si>
  <si>
    <t>17/02/2025</t>
  </si>
  <si>
    <t>2025.02.17 - Vila Laura Prime - Escritura e Lançamento 4.pdf</t>
  </si>
  <si>
    <t>Vila Laura Prime</t>
  </si>
  <si>
    <t>2025.02.28 - Farol do Mucuripe - Comitê Lançamento - EE resp. (1) - LM.pdf</t>
  </si>
  <si>
    <t>Farol do Mucuripe</t>
  </si>
  <si>
    <t>24/02/2025</t>
  </si>
  <si>
    <t>2025.02.17 - Book Sol do Mediterrâneo - Respostas 6.pdf</t>
  </si>
  <si>
    <t>Sol do Mediterrâneo - F2</t>
  </si>
  <si>
    <t>2025.02.28 - Vale dos Lírios F2 - Lançamento - Resp 1.pdf</t>
  </si>
  <si>
    <t>Vale dos Lírios - F2</t>
  </si>
  <si>
    <t>2025.02.28 - Pq Ventura III - Escritura_Respostas_Final.pdf</t>
  </si>
  <si>
    <t>Parque Ventura III</t>
  </si>
  <si>
    <t>28/02/2025</t>
  </si>
  <si>
    <t>Book de Escritura</t>
  </si>
  <si>
    <t>2025.03.17 - Frutas - Investimento.pdf</t>
  </si>
  <si>
    <t>FRUTAS</t>
  </si>
  <si>
    <t>17/03/2025</t>
  </si>
  <si>
    <t>2025.03.24 - Elevato Miraggio - Investimento Comentários.pdf</t>
  </si>
  <si>
    <t>Elevato Miraggio (Ativo NT)</t>
  </si>
  <si>
    <t>24/03/2025</t>
  </si>
  <si>
    <t>2025.03.28 - Boa Viagem Prime - Investimento  - EE - Resposta 1.pdf</t>
  </si>
  <si>
    <t>Boa Viagem Prime</t>
  </si>
  <si>
    <t>28/03/2025</t>
  </si>
  <si>
    <t>2025.03.28 - Viva Casa Amarela - ECV + Lançamento RESPOSTA 2.pdf</t>
  </si>
  <si>
    <t>Viva Casa Amarela</t>
  </si>
  <si>
    <t>2025.04.01 - Essence Butantã - Reversão - R01.pdf</t>
  </si>
  <si>
    <t>Essence Butantã (Eiras Garcia)</t>
  </si>
  <si>
    <t>02/04/2025</t>
  </si>
  <si>
    <t>Book de Reversão Sem Reneg</t>
  </si>
  <si>
    <t>2025.04.07 - Mirante Belvedere - Escritura.pdf</t>
  </si>
  <si>
    <t>Mirante Belvedere</t>
  </si>
  <si>
    <t>07/04/2025</t>
  </si>
  <si>
    <t>2025.04.07 Torres de Pirajá - Investimento.pdf</t>
  </si>
  <si>
    <t>Torres de Pirajá</t>
  </si>
  <si>
    <t>2025.04.07 - Farol da Barra - Lançamento.pdf</t>
  </si>
  <si>
    <t>Viver Salvador – Farol da Barra</t>
  </si>
  <si>
    <t>Fundamento</t>
  </si>
  <si>
    <t>2025.04.25 - Ventura III - Lançamento_Respostas.pdf</t>
  </si>
  <si>
    <t>25/04/2025</t>
  </si>
  <si>
    <t>2025.04.25 - Sena Parc Prime - Investimento_Respostas.pdf</t>
  </si>
  <si>
    <t>Sena Parc Prime (Terreno 587)</t>
  </si>
  <si>
    <t>2025.04.25 - Viva Penha - Escritura _Respostas.pdf</t>
  </si>
  <si>
    <t>Viva Penha</t>
  </si>
  <si>
    <t>2025.04.28 - Porto Lima - Reversao c Reneg final.pdf</t>
  </si>
  <si>
    <t>Porto Lima I – F1</t>
  </si>
  <si>
    <t>28/04/2025</t>
  </si>
  <si>
    <t>Book de Reversão com Renegociação</t>
  </si>
  <si>
    <t>2025.04.28 - Solar do Bosque - Escritura_Final.pdf</t>
  </si>
  <si>
    <t>Solar do Bosque</t>
  </si>
  <si>
    <t>09.05.2025 - Vista Del Sol - Escritura REV02_Resposta.pdf</t>
  </si>
  <si>
    <t>Vista Del Sol</t>
  </si>
  <si>
    <t>09/05/2025</t>
  </si>
  <si>
    <t>19.05.2025 Boulevard Prime - Investimento REV01.pdf</t>
  </si>
  <si>
    <t>Boulevard Prime</t>
  </si>
  <si>
    <t>19/05/2025</t>
  </si>
  <si>
    <t>2025.05.19 - Encanto Piatã F2 - Lançamento REV02_Respostas.pdf</t>
  </si>
  <si>
    <t>Encanto Piatã - F2</t>
  </si>
  <si>
    <t>2025.05.23 - Bosque Jacarepagua - Escritura_Respostas.pdf</t>
  </si>
  <si>
    <t>Bosque Jacarepaguá – RZO7</t>
  </si>
  <si>
    <t>23/05/2025</t>
  </si>
  <si>
    <t>Book de Escritura - Respostas comitê 19/05/2025</t>
  </si>
  <si>
    <t>2025.05.26 - Gran Miami - Investimento - EE.pdf</t>
  </si>
  <si>
    <t>Gran Miami</t>
  </si>
  <si>
    <t>26/05/2025</t>
  </si>
  <si>
    <t>26.05.2025 - Plenum Camaçari - Investimento REV02.pdf</t>
  </si>
  <si>
    <t>Plenum Camaçari</t>
  </si>
  <si>
    <t>26.05.2025 - Videira - Investimento REV00_Respostas.pdf</t>
  </si>
  <si>
    <t>Videira</t>
  </si>
  <si>
    <t>02.06.2025 - Botanique &amp; Jardine - Investimento_Respostas 2.0.pdf</t>
  </si>
  <si>
    <t>Botanique &amp; Jardine</t>
  </si>
  <si>
    <t>02/06/2025</t>
  </si>
  <si>
    <t>2025.06.02 - Mirante Belvedere - Lçto - R08.pdf</t>
  </si>
  <si>
    <t>02.06.2025 - Una Sonata - Investimento REV02_Respostas.pdf</t>
  </si>
  <si>
    <t>Una Sonata (Terreno 104)</t>
  </si>
  <si>
    <t>2025.06.09 - Messej. Pq da Lagoa II - Comitê Lançamento REV04.pdf</t>
  </si>
  <si>
    <t>Messejana Parque da Lagoa II</t>
  </si>
  <si>
    <t>09/06/2025</t>
  </si>
  <si>
    <t>2025.06.09 - Oasis Penha - Lançamento 4.pdf</t>
  </si>
  <si>
    <t>Oásis Penha</t>
  </si>
  <si>
    <t>2025.06.10 - Raízes I e II - Investimento -.pdf</t>
  </si>
  <si>
    <t>Raízes I e II (Savana)</t>
  </si>
  <si>
    <t>2025.06.13 - Bosque Jacarepagua - Lançamento_Respostas.pdf</t>
  </si>
  <si>
    <t>13/06/2025</t>
  </si>
  <si>
    <t>Book de Lançamento – Respostas Comitê</t>
  </si>
  <si>
    <t>2025.06.13 - Vista Solea - Investimento_Respostas.pdf</t>
  </si>
  <si>
    <t>Vista Solea</t>
  </si>
  <si>
    <t>2025.06.17 - Americanópolis - Essencial.pdf</t>
  </si>
  <si>
    <t>Americanópolis</t>
  </si>
  <si>
    <t>17/06/2025</t>
  </si>
  <si>
    <t>Comitê Essencial</t>
  </si>
  <si>
    <t>2025.06.17- Chácaras Morumbi - investimento - comentários.pdf</t>
  </si>
  <si>
    <t>Chácaras Morumbi</t>
  </si>
  <si>
    <t>23/06/2025</t>
  </si>
  <si>
    <t>2025.06.24 - Cuiabinho - Essencial.pdf</t>
  </si>
  <si>
    <t>Cuiabinho</t>
  </si>
  <si>
    <t>2025.06.23 - Elevato Av. Brasil - Investimento - Respostas.pdf</t>
  </si>
  <si>
    <t>Elevato Av. Brasil – RZN2</t>
  </si>
  <si>
    <t>Book de Investimento - Respostas</t>
  </si>
  <si>
    <t>23.06.25 - ESTRADA B - Investimento REV00 - Resposta 2.pdf</t>
  </si>
  <si>
    <t>Estrada B</t>
  </si>
  <si>
    <t>2025.06.17 - Furacão - Investimento - comentários (2).pdf</t>
  </si>
  <si>
    <t>Furacão</t>
  </si>
  <si>
    <t>2025.06.16 - Parque Hortênsia - Escritura. 3 -respostas .pdf</t>
  </si>
  <si>
    <t>Parque Hortênsia</t>
  </si>
  <si>
    <t>2025.06.23 - 7 de Setembro - Essencial 1 ok.pdf</t>
  </si>
  <si>
    <t>Sete de Setembro</t>
  </si>
  <si>
    <t>2025.06.23 - Silva Vale - Investimento - Respostas.pdf</t>
  </si>
  <si>
    <t>Silva Vale – RZN3</t>
  </si>
  <si>
    <t>2025.06.26 - Luiza Vale - Investimento - Respostas 1.pdf</t>
  </si>
  <si>
    <t>Luiza Vale– RZN1</t>
  </si>
  <si>
    <t>26/06/2025</t>
  </si>
  <si>
    <t>2025.06.26 - Mirante Especiale - Investimento_Respostas.pdf</t>
  </si>
  <si>
    <t>Mirante Especiale – RZO7</t>
  </si>
  <si>
    <t>2025.06.26 - Monte Trindade - Investimento - Respostas.pdf</t>
  </si>
  <si>
    <t>Monte Trindade</t>
  </si>
  <si>
    <t>26/06/25</t>
  </si>
  <si>
    <t>Book de Investimento - Comitê Ampliado</t>
  </si>
  <si>
    <t>2025.06.26 - SANTA FÉ QD 83 - Investimento REV01.pdf</t>
  </si>
  <si>
    <t>Santa Fé Qd 83</t>
  </si>
  <si>
    <t>2025.06.26 - Spazio Primavera - Essencial - Respostas.pdf</t>
  </si>
  <si>
    <t>Spazio Primavera</t>
  </si>
  <si>
    <t>Book de Investimento - Comitê Essencial</t>
  </si>
  <si>
    <t>2025.06.30 - Araçá Prime - Investimento - atualização.pdf</t>
  </si>
  <si>
    <t>Araçá Prime</t>
  </si>
  <si>
    <t>30/06/2025</t>
  </si>
  <si>
    <t>2025.06.26 - Aurora de Minas - Investimento - Reaprovação - Respostas.pdf</t>
  </si>
  <si>
    <t>Aurora de Minas (Anel Sancruza)</t>
  </si>
  <si>
    <t>25.06.2025 - Essence Maracanaú I - Investimento_respostas comitê_R02.pdf</t>
  </si>
  <si>
    <t>Essence Maracanaú I (Terreno 626)</t>
  </si>
  <si>
    <t>25.06.2025 - Essence Maracanaú II - Investimento_respostas comitê_R02.pdf</t>
  </si>
  <si>
    <t>Essence Maracanaú II (Terreno 626)</t>
  </si>
  <si>
    <t>2025.06.30 - Florença - Investimento - Respostas (1).pdf</t>
  </si>
  <si>
    <t>Florença</t>
  </si>
  <si>
    <t>2025.06.30 - Mirante Boa Vista - Escritura Respostas Voice Over.pdf</t>
  </si>
  <si>
    <t>Mirante Boa Vista – RZN</t>
  </si>
  <si>
    <t>Book de Escritura - Respostas</t>
  </si>
  <si>
    <t>2025.06.30 Aurora (Santa Etelvina) Essencial.pdf</t>
  </si>
  <si>
    <t>Santa Etelvina – Lote B</t>
  </si>
  <si>
    <t>2025.06.30 - Sol de Camarás 2 F2 - Lançamento 1 - LM.pdf</t>
  </si>
  <si>
    <t>Sol de Camarás – Condomínio 2 – Fase 2</t>
  </si>
  <si>
    <t>30/06/25</t>
  </si>
  <si>
    <t>2025.06.30 - Solar do Bosque - Lançamento_respostas comite presencial.pdf</t>
  </si>
  <si>
    <t>2025.06.30 - Terrazo Butantã (Alfredo Xavier de Andrade)- Essencial .pdf</t>
  </si>
  <si>
    <t>Terrazo Butantã (Alfredo Xavier de Andrade)</t>
  </si>
  <si>
    <t>2025.06.30 - Vila Recife - Investimento R01 - RESPOSTA.pdf</t>
  </si>
  <si>
    <t>Vila Recife</t>
  </si>
  <si>
    <t>2025.07.14 - Elevato Carolina Machado - Escritura REV02 - Copia.pdf</t>
  </si>
  <si>
    <t>Elevato Carolina Machado (antigo Elevato Madureira)</t>
  </si>
  <si>
    <t>14/07/2025</t>
  </si>
  <si>
    <t>2025.07.14 - Elevato Carolina Machado - Escritura REV02.pdf</t>
  </si>
  <si>
    <t>2025.07.25 - Estação Rio - Lançamento REV02 Respostas.pdf</t>
  </si>
  <si>
    <t>Estação Rio</t>
  </si>
  <si>
    <t>25/07/2025</t>
  </si>
  <si>
    <t>Comitê de Lançamento</t>
  </si>
  <si>
    <t>2025.07.28 Parque dos Sonhos IV - Escit + Lanç - Aprov-Real -  REV02.pdf</t>
  </si>
  <si>
    <t>Parque dos Sonhos IV</t>
  </si>
  <si>
    <t>28/07/2025</t>
  </si>
  <si>
    <t>Book de Escritura + Lançamento</t>
  </si>
  <si>
    <t>2025.07.28 - Torres de Pirajá - Investimento.pdf</t>
  </si>
  <si>
    <t>2025.08.04 - Alto da Colina - Escritura REV01_Resposta.pdf</t>
  </si>
  <si>
    <t>Alto da Colina</t>
  </si>
  <si>
    <t>04/08/2025</t>
  </si>
  <si>
    <t>2025.08.08 - Tucumã -  Escrit + Lanç - Book comite - resposta.pdf</t>
  </si>
  <si>
    <t>Tucumã</t>
  </si>
  <si>
    <t>08/08/2025</t>
  </si>
  <si>
    <t>11.08.25 - PRESIDENTE - Investimento REV01.pdf</t>
  </si>
  <si>
    <t>Presidente</t>
  </si>
  <si>
    <t>11/08/2025</t>
  </si>
  <si>
    <t>2025.08.18- Jardim dos Prados - Comitê Lançamento - Respostas (2).pdf</t>
  </si>
  <si>
    <t>Jardim dos Prados</t>
  </si>
  <si>
    <t>18/08/2025</t>
  </si>
  <si>
    <t>2025.08.25 - Estação Bordignon - Escritura 3 - final.pdf</t>
  </si>
  <si>
    <t>Estação Bordignon</t>
  </si>
  <si>
    <t>25/08/2025</t>
  </si>
  <si>
    <t>2025.08.25 - Veneza Prime - Escritura e Lançamento REV02 Resposta.pdf</t>
  </si>
  <si>
    <t>Veneza Prime</t>
  </si>
  <si>
    <t>2025.08.25 - Escritura Max Vila Sônia.pdf</t>
  </si>
  <si>
    <t>Max Vila Sônia</t>
  </si>
  <si>
    <t>29/08/2025</t>
  </si>
  <si>
    <t>2025.09.01 - Gran Park Canoas - Investimento_Respostas REV00.pdf</t>
  </si>
  <si>
    <t>Gran Park Canoas</t>
  </si>
  <si>
    <t>01/09/2025</t>
  </si>
  <si>
    <t>2025.09.01 Vale das Tulipas - Escritura e Lançamento REV02_Respostas.pdf</t>
  </si>
  <si>
    <t>Vale das Tulipas</t>
  </si>
  <si>
    <t>2025.09.05 -Alvorada Aricanduva - Escritura + Lanç_Respostas.pdf</t>
  </si>
  <si>
    <t>Alvorada Aricanduva (Sobral)</t>
  </si>
  <si>
    <t>05/09/2025</t>
  </si>
  <si>
    <t>Comitê de escritura e lançamento</t>
  </si>
  <si>
    <t>2025.09.05 - Estação Bordignon - Escritura_Resposta.pdf</t>
  </si>
  <si>
    <t>2025.09.09 - Aurora Prime - Escrit + Lçto - R02.pdf</t>
  </si>
  <si>
    <t>Aurora Prime</t>
  </si>
  <si>
    <t>09/09/2025</t>
  </si>
  <si>
    <t>2025.09.12 - Elevato Nova Iguaçu - Investimento REV01.pdf</t>
  </si>
  <si>
    <t>Elevato Nova Iguaçu – RBX1</t>
  </si>
  <si>
    <t>12/09/2025</t>
  </si>
  <si>
    <t>09.2025- Dália - Lançamento 7.pdf</t>
  </si>
  <si>
    <t>Dália</t>
  </si>
  <si>
    <t>15/09/2025</t>
  </si>
  <si>
    <t>2025.09.15 -Max Vila Sônia - Lançamento.pdf</t>
  </si>
  <si>
    <t>2025.09.15 - Parque Hortênsia - Lançamento.pdf</t>
  </si>
  <si>
    <t>2025.09.15 - Vista Del Sol - Lançamento REV02.pdf</t>
  </si>
  <si>
    <t>2025.09.19 - Estância Dourados II - Escritura_Respostas REV01.pdf</t>
  </si>
  <si>
    <t>Estância Dourados II</t>
  </si>
  <si>
    <t>19/09/2025</t>
  </si>
  <si>
    <t>Brumatti Santos - Book Essencial - FINAL - Ret.pdf</t>
  </si>
  <si>
    <t>Brumatti Santos</t>
  </si>
  <si>
    <t>22/09/2025</t>
  </si>
  <si>
    <t>2025.09.22 - Comitê Essencial - Marechal Tito.pdf</t>
  </si>
  <si>
    <t>Marechal Tito</t>
  </si>
  <si>
    <t>2025.09.22 - Solar Trindade F2 - Lançamento - EE.pdf</t>
  </si>
  <si>
    <t>Solar Trindade F2 (RZL)</t>
  </si>
  <si>
    <t>2025.09.25 - Panorama Santo André - lançamento_Respostas.pdf</t>
  </si>
  <si>
    <t>Adriático (Panorama Santo André)</t>
  </si>
  <si>
    <t>25/09/2025</t>
  </si>
  <si>
    <t>2025.09.25 - Alto da Colina - Lançamento.pdf</t>
  </si>
  <si>
    <t>2025.09.25 - Elevato Maracanã - Investimento Respostas.pdf</t>
  </si>
  <si>
    <t>Elevato Maracanã– RZN1</t>
  </si>
  <si>
    <t>2025.09.25 - Furacão - Investimento_Respostas.pdf</t>
  </si>
  <si>
    <t>2025.09.25 - Max Berg - Investimento Essencial_Respostas.pdf</t>
  </si>
  <si>
    <t>Max Berg</t>
  </si>
  <si>
    <t>Comitê de Investimentos - Essencial</t>
  </si>
  <si>
    <t>2025.09.25 - Morada Beberibe - ECV+Lçto_Respostas v2.pdf</t>
  </si>
  <si>
    <t>Morada Beberibe</t>
  </si>
  <si>
    <t>29.09.25 - CAMPOS - Investimento REV00.pdf</t>
  </si>
  <si>
    <t>Campos 1, 2 e 3</t>
  </si>
  <si>
    <t>29/09/2025</t>
  </si>
  <si>
    <t>29.09.2025 - Lumiê - Investimento REV00.pdf</t>
  </si>
  <si>
    <t>Lumiê (Terreno 754)</t>
  </si>
  <si>
    <t>29.09.25 - Vista sul - Investimento - REV00.pdf</t>
  </si>
  <si>
    <t>Vista Sul</t>
  </si>
  <si>
    <t>2025.10.06 - Elevato Nova Iguaçu - Investimento REV02.pdf</t>
  </si>
  <si>
    <t>06/10/2025</t>
  </si>
  <si>
    <t>2025.10.06 - Elevato Nova Iguaçu - Investimento REV03.pdf</t>
  </si>
  <si>
    <t>Estância Dourados II- Lançamento - Aprovação - Diretoria_R01.pdf</t>
  </si>
  <si>
    <t>17/10/2025</t>
  </si>
  <si>
    <t>2025.10.20 - Elevato Uno - Rev. c. Reneg. REV05 final.pdf</t>
  </si>
  <si>
    <t>Elevato Uno</t>
  </si>
  <si>
    <t>20/10/2025</t>
  </si>
  <si>
    <t>Comite de Reversão com Reneg.</t>
  </si>
  <si>
    <t>20.10.25 - Novos Ares - Aurora - Escritura + Lançamento - Respostas_R01.1.pdf</t>
  </si>
  <si>
    <t>Novos Ares - Aurora</t>
  </si>
  <si>
    <t>2025.10.20 - Mario Gatti - Investimento REV02.pdf</t>
  </si>
  <si>
    <t>Reservatto Amoreiras (Mario Gatti)</t>
  </si>
  <si>
    <t>2025.10.30 - Estilo Faiçalville - Escritura + Lançamento_Pós Comitê_Final.pdf</t>
  </si>
  <si>
    <t>Estilo Faiçalville</t>
  </si>
  <si>
    <t>24/10/2025</t>
  </si>
  <si>
    <t>Alternativo</t>
  </si>
  <si>
    <t>20.10.25 - Estilo Faiçalville - Escritura + Lançamento_respostas_R02.1.pdf</t>
  </si>
  <si>
    <t>2025.10.27 - EUCATUR - Investimento.pdf</t>
  </si>
  <si>
    <t>Eucatur</t>
  </si>
  <si>
    <t>27/10/2025</t>
  </si>
  <si>
    <t>2025.10.27 - Sena Parc Prime - Investimento REV01.pdf</t>
  </si>
  <si>
    <t>2025.11.03 - Elevato Trinitá - Investimento 2F - REV00 Final.pdf</t>
  </si>
  <si>
    <t>Elevato Trinità</t>
  </si>
  <si>
    <t>03/11/2025</t>
  </si>
  <si>
    <t>Comite Ampliado de Investimento</t>
  </si>
  <si>
    <t>2025.11.03 - Morada Real -  Lançamento REV00 - respostas.pdf</t>
  </si>
  <si>
    <t>Morada Real</t>
  </si>
  <si>
    <t>2025.11.07 - Acqua Viena - Investimento - Respostas REV01.pdf</t>
  </si>
  <si>
    <t>Acqua Viena</t>
  </si>
  <si>
    <t>07/11/2025</t>
  </si>
  <si>
    <t>2025.11.07 - Aurora Iguaçu - Escritura - Respostas 2.pdf</t>
  </si>
  <si>
    <t>Aurora Iguaçu (antigo Vale das águas II) – RBX</t>
  </si>
  <si>
    <t>2025.11.07 - Soul Taquá II - Lançamento - Respostas 1.pdf</t>
  </si>
  <si>
    <t>Soul Taquá II (Soul Taquá Clube)</t>
  </si>
  <si>
    <t>Book de Lançamento - Respostas</t>
  </si>
  <si>
    <t>2025.11.10 - Miraggio - Ampliado de Investimento R04_Resposta.pdf</t>
  </si>
  <si>
    <t>Miraggio</t>
  </si>
  <si>
    <t>10/11/2025</t>
  </si>
  <si>
    <t>2025.11.14 - Furacão 2000 - Reversão s reneg - Resposta.pdf</t>
  </si>
  <si>
    <t>Furacão 2000</t>
  </si>
  <si>
    <t>14/11/2025</t>
  </si>
  <si>
    <t>Book de Reversão sem Renegociação</t>
  </si>
  <si>
    <t>2025.11.14 - Santorini Prime - Investimento - Respostas.pdf</t>
  </si>
  <si>
    <t>Santorini Prime</t>
  </si>
  <si>
    <t>2025.11.14 - São Martinho - Investimento - Respostas.pdf</t>
  </si>
  <si>
    <t>São Martinho</t>
  </si>
  <si>
    <t>17.11.2025 - Idealle Prime - Investimento REV02.pdf</t>
  </si>
  <si>
    <t>Idealle Prime (Terreno 289)</t>
  </si>
  <si>
    <t>17/11/2025</t>
  </si>
  <si>
    <t>2025.11.17 - Leonel Martiniano - Essencial_v1.pdf</t>
  </si>
  <si>
    <t>Leonel Martiniano</t>
  </si>
  <si>
    <t>Book Essencial de Investimento</t>
  </si>
  <si>
    <t>2025.11.17 - Portal de Salvador - Reversão cReneg. 2.pdf</t>
  </si>
  <si>
    <t>Portal de Salvador</t>
  </si>
  <si>
    <t>Book de Reversão c/ Reneg.</t>
  </si>
  <si>
    <t>2025.11.17 - Solar dos Ventos Prime - Escritura e Lançamento EE REV03.pdf</t>
  </si>
  <si>
    <t>Solar dos Ventos Prime</t>
  </si>
  <si>
    <t>2025.11.17 - Forte São Marcelo - Lançamento - Aprovação V3.pdf</t>
  </si>
  <si>
    <t>Viver Salvador – Forte São Marcelo</t>
  </si>
  <si>
    <t>17/11/25</t>
  </si>
  <si>
    <t>24.11.2025 - São Joaquim - Investimento.pdf</t>
  </si>
  <si>
    <t>São Joaquim</t>
  </si>
  <si>
    <t>24/11/2025</t>
  </si>
  <si>
    <t>28.11.2025 - Atilio 1407 - Escritura + Lançamento - Respostas.pdf</t>
  </si>
  <si>
    <t>Atílio 1407</t>
  </si>
  <si>
    <t>28/11/2025</t>
  </si>
  <si>
    <t>2025.11.28 - Elevato Ramos - Escritura - Respostas_REV1.pdf</t>
  </si>
  <si>
    <t>Elevato Ramos – RZN2</t>
  </si>
  <si>
    <t>28.11.2025 - Essence Caucaia - Investimento - Respostas.pdf</t>
  </si>
  <si>
    <t>Essence Caucaia I, II e III (Terreno 710)</t>
  </si>
  <si>
    <t>28.11.2025 - Estação das Fontes III - Escritura+Lançamento - Respostas.pdf</t>
  </si>
  <si>
    <t>Estação das Fontes III</t>
  </si>
  <si>
    <t>2025.11.28 - Morada Real - Lançamento - Atualizado.pdf</t>
  </si>
  <si>
    <t>2025.12.01 - Aurora Iguaçu - Lançamento_R00 1.pdf</t>
  </si>
  <si>
    <t>01/12/2025</t>
  </si>
  <si>
    <t>2025.12.01- Estação Bordignon - Lançamento REV02.2.pdf</t>
  </si>
  <si>
    <t>2025.12.02 - Francisco Velho - Ampliado de Investimento REV02.pdf</t>
  </si>
  <si>
    <t>Francisco Velho</t>
  </si>
  <si>
    <t>01.12.2025 - Oásis Salvador Norte - Investimento REV_10.pdf</t>
  </si>
  <si>
    <t>Oásis Salvador Norte</t>
  </si>
  <si>
    <t>2025.12.01 - Santos Silveiro - Investimento - E.E.pdf</t>
  </si>
  <si>
    <t>Santos Silveiro</t>
  </si>
  <si>
    <t>2025.12.01 - Viva Casa Amarela 2 - Investimento _Final.pdf</t>
  </si>
  <si>
    <t>Viva Casa Amarela 2</t>
  </si>
  <si>
    <t>2025.12.01 - Pirajussara - Essencial de Investimento.pdf</t>
  </si>
  <si>
    <t>Pirajussara</t>
  </si>
  <si>
    <t>02/12/2025</t>
  </si>
  <si>
    <t>2025.12.08 - Brumatti Santos - Investimento Ampliado.pdf</t>
  </si>
  <si>
    <t>08/12/2025</t>
  </si>
  <si>
    <t>2025.12.08 - Cuiabinho - Reversão Essencial.pdf</t>
  </si>
  <si>
    <t>Comitê Essencial de Reversão s/ Reneg</t>
  </si>
  <si>
    <t>2025.12.08 - Ferrovila - Investimento REV01.pdf</t>
  </si>
  <si>
    <t>Ferrovila</t>
  </si>
  <si>
    <t>2025.12.08 - Laguna Ville - Escritura e Lançamento REV02.1.pdf</t>
  </si>
  <si>
    <t>Laguna Ville</t>
  </si>
  <si>
    <t>2025.12.09 - Protendit - Essencial_v1 2.pdf</t>
  </si>
  <si>
    <t>Pedro de Castilho (PROTENDIT)</t>
  </si>
  <si>
    <t>2025.12.08 - Vista Paraná - Ampliado de Investimento R00.pdf</t>
  </si>
  <si>
    <t>Vista Paraná– RZN3</t>
  </si>
  <si>
    <t>2025.12.12 - Bandeirante -Escrit + Lançamento_Respostas.pdf</t>
  </si>
  <si>
    <t>Bandeirante</t>
  </si>
  <si>
    <t>12/12/2025</t>
  </si>
  <si>
    <t>2025.12.12 - Elevato Inhaúma - Ampliado de Investimento_Respostas R01.pdf</t>
  </si>
  <si>
    <t>Elevato Inhaúma – RZN2</t>
  </si>
  <si>
    <t>2026.01.05 - Elevato Inhaúma - Investimento_Retif.pdf</t>
  </si>
  <si>
    <t>2025.12.12 - Pituba Prime - Investimento REV03_Resposta.pdf</t>
  </si>
  <si>
    <t>Pituba Prime</t>
  </si>
  <si>
    <t>2025.12.12 - Vila Butanta - Rev +Escr + Lçto - Respostas.pdf</t>
  </si>
  <si>
    <t>Vila Butantã (Joaquim Guimarães)</t>
  </si>
  <si>
    <t>2025.12.15 - Laranjal - Book Essencial EE.pdf</t>
  </si>
  <si>
    <t>Laranjal</t>
  </si>
  <si>
    <t>15/12/2025</t>
  </si>
  <si>
    <t>2025.12.19 - Elevato Ramos - Lançamento REV03_Respostas.pdf</t>
  </si>
  <si>
    <t>19/12/2025</t>
  </si>
  <si>
    <t>2025.12.19 - Guaranys - Ampliado de Investimento_R03_Respostas.pdf</t>
  </si>
  <si>
    <t>Guaranys – ZO7</t>
  </si>
  <si>
    <t>2025.12.19 - Novos Ares Luar - Comitê Reversão c Reneg. - Resposta.pdf</t>
  </si>
  <si>
    <t>Novos Ares Luar</t>
  </si>
  <si>
    <t>Book de Reversão c/ Renegociação</t>
  </si>
  <si>
    <t>12.01.26 - Novos Ares Aurora - Escritura + Lançamento R01 (1).pdf</t>
  </si>
  <si>
    <t>Novos Ares Aurora - Atualização</t>
  </si>
  <si>
    <t>12/01/2026</t>
  </si>
  <si>
    <t>2026.01.19 - LAGUNA - Investimento - Respostas.pdf</t>
  </si>
  <si>
    <t>Laguna</t>
  </si>
  <si>
    <t>19/01/2026</t>
  </si>
  <si>
    <t>2026.01.19 - Vista da Mangueira - Escritura e Lançamento - Resposta.pdf</t>
  </si>
  <si>
    <t>Vista da Mangueira</t>
  </si>
  <si>
    <t>2026.01.23 - Mirante Boa Vista - Escritura_Respostas.pdf</t>
  </si>
  <si>
    <t>Mirante Boa Vista</t>
  </si>
  <si>
    <t>23/01/2026</t>
  </si>
  <si>
    <t>2026.01.30 - Cavalhada Kóren I e II - Investimento - Atualização.pdf</t>
  </si>
  <si>
    <t>Cavalhada Kóren I e II</t>
  </si>
  <si>
    <t>30/01/2026</t>
  </si>
  <si>
    <t>2026.02.06 Supremo Paralela - Ampliado de Investimento R0V1_Respostas.pdf</t>
  </si>
  <si>
    <t>Supremo Paralela</t>
  </si>
  <si>
    <t>06/02/2026</t>
  </si>
  <si>
    <t>2026.02.09 - Gran Vista com EDGAR - Reversão sem Renegociação 2.pdf</t>
  </si>
  <si>
    <t>Gran Vista com EDGAR</t>
  </si>
  <si>
    <t>09/02/2026</t>
  </si>
  <si>
    <t>2026.02.20 - Book Escritura+Lançamento - Estação das Fontes III R06_Respostas.pdf</t>
  </si>
  <si>
    <t>20/02/2026</t>
  </si>
  <si>
    <t>2026.02.20 Life Jaguare F2 - Lançamento _Respostas.pdf</t>
  </si>
  <si>
    <t>Life Jaguaré Fase 2</t>
  </si>
  <si>
    <t>2026.02.20 - Porto Lima - Escritura rv2.1_Respostas.pdf</t>
  </si>
  <si>
    <t>Porto Lima &amp; Porto Seleta</t>
  </si>
  <si>
    <t>2026.02.23 - Aurora Iguaçu Unificado - Lançamento EE.pdf</t>
  </si>
  <si>
    <t>23/02/2026</t>
  </si>
  <si>
    <t>2026.03.02 - Comitê Escritura - Dandara REV05.1_Respostas.pdf</t>
  </si>
  <si>
    <t>Dandara</t>
  </si>
  <si>
    <t>02/03/2026</t>
  </si>
  <si>
    <t>2026.03.02 Escritura Eiras Garcia REV04.pdf</t>
  </si>
  <si>
    <t>Eiras Garcia</t>
  </si>
  <si>
    <t>2026.03.02 - Encanto Piatã F3 - Lançamento REV01.pdf</t>
  </si>
  <si>
    <t>Encanto Piatã – F3</t>
  </si>
  <si>
    <t>2026.03.20 - Bosque Recife - ESC + LÇTO - R01.2_Respostas.pdf</t>
  </si>
  <si>
    <t>Bosque Recife</t>
  </si>
  <si>
    <t>06/03/2026</t>
  </si>
  <si>
    <t>2026.03.06 - Elev. Andaluz e Lusitano_REV03_Respostas.pdf</t>
  </si>
  <si>
    <t>Elevato Andaluz e Lusitano</t>
  </si>
  <si>
    <t>2026.03.06 - Mirante Messejana - Escritura e Lançamento REV02_Respostas.pdf</t>
  </si>
  <si>
    <t>Mirante Messejana</t>
  </si>
  <si>
    <t>2026.03.09 - Reserva dos Colibris - Escritura e Lançamento V6.RESP.pdf</t>
  </si>
  <si>
    <t>09/03/2026</t>
  </si>
  <si>
    <t>2026.03.09 - Torres Marina - ESC + LÇTO - R04.pdf</t>
  </si>
  <si>
    <t>Torres Marina</t>
  </si>
  <si>
    <t>2026.03.16 - Estrada das Lágrimas - Investimento Essencial v4.2_Respostas.pdf</t>
  </si>
  <si>
    <t>Estrada das Lágrimas</t>
  </si>
  <si>
    <t>16/03/2026</t>
  </si>
  <si>
    <t>16.03.26 - Porto Lima - Lançamento EE.1.pdf</t>
  </si>
  <si>
    <t>2026.03.20 - Elevato Ramos - Lançamento EE.1_Respostas.pdf</t>
  </si>
  <si>
    <t>20/03/2026</t>
  </si>
  <si>
    <t>2025.11.24 - Porto Valência F2 - Lançamento_Respostas (1) 1.pdf</t>
  </si>
  <si>
    <t>Porto Valência F2</t>
  </si>
  <si>
    <t>28/11/2025 - Respostas</t>
  </si>
  <si>
    <t>28.11.2025  - Porto Valência F2 - Lançamento - Respostas.pdf</t>
  </si>
  <si>
    <t>FAIXA</t>
  </si>
  <si>
    <t>TRI</t>
  </si>
  <si>
    <t>MÊS</t>
  </si>
  <si>
    <t>FLAG</t>
  </si>
  <si>
    <t>2025-1T</t>
  </si>
  <si>
    <t>2025-2T</t>
  </si>
  <si>
    <t>2025-3T</t>
  </si>
  <si>
    <t>2025-4T</t>
  </si>
  <si>
    <t>2026-1T</t>
  </si>
  <si>
    <t>FAIXA 1</t>
  </si>
  <si>
    <t>FAIXA 2</t>
  </si>
  <si>
    <t>FAIXA 3</t>
  </si>
  <si>
    <t>TOTAL</t>
  </si>
  <si>
    <t>PREÇO RASO / CUSTO</t>
  </si>
  <si>
    <t>QTD PROJETOS COMITÊ</t>
  </si>
  <si>
    <t>Range LI</t>
  </si>
  <si>
    <t>Range MR</t>
  </si>
  <si>
    <t>Range MB</t>
  </si>
  <si>
    <t>Ate +1%</t>
  </si>
  <si>
    <t>Até +0,5%</t>
  </si>
  <si>
    <t>Acima de +1%</t>
  </si>
  <si>
    <t>Total</t>
  </si>
  <si>
    <t>Acima de 34%</t>
  </si>
  <si>
    <t>Ate 32%</t>
  </si>
  <si>
    <t>Ate 34%</t>
  </si>
  <si>
    <t>Dif. LI régua</t>
  </si>
  <si>
    <t>MARGEM RASA ECONÔMICA</t>
  </si>
  <si>
    <t>MARGEM BRUTA ECONÔMICA</t>
  </si>
  <si>
    <t>Ate 39%</t>
  </si>
  <si>
    <t>Ate 41%</t>
  </si>
  <si>
    <t>Acima de 41%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</si>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</sst>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6666"/>
        <bgColor rgb="FFFF6666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164" fontId="0" fillId="0" borderId="0" xfId="0" applyNumberFormat="1"/>
    <xf numFmtId="2" fontId="0" fillId="0" borderId="0" xfId="0" applyNumberFormat="1"/>
    <xf numFmtId="9" fontId="0" fillId="0" borderId="0" xfId="0" applyNumberFormat="1"/>
    <xf numFmtId="10" fontId="0" fillId="0" borderId="0" xfId="0" applyNumberFormat="1"/>
    <xf numFmtId="164" fontId="0" fillId="2" borderId="0" xfId="0" applyNumberFormat="1" applyFill="1"/>
    <xf numFmtId="0" fontId="0" fillId="3" borderId="0" xfId="0" applyFill="1"/>
    <xf numFmtId="0" fontId="0" fillId="2" borderId="0" xfId="0" applyFill="1"/>
    <xf numFmtId="164" fontId="0" fillId="3" borderId="0" xfId="0" applyNumberFormat="1" applyFill="1"/>
    <xf numFmtId="10" fontId="0" fillId="2" borderId="0" xfId="0" applyNumberFormat="1" applyFill="1"/>
    <xf numFmtId="164" fontId="0" fillId="0" borderId="0" xfId="1" applyNumberFormat="1" applyFont="1"/>
    <xf numFmtId="164" fontId="0" fillId="2" borderId="0" xfId="1" applyNumberFormat="1" applyFont="1" applyFill="1"/>
    <xf numFmtId="1" fontId="0" fillId="0" borderId="0" xfId="0" applyNumberFormat="1"/>
    <xf numFmtId="14" fontId="0" fillId="0" borderId="0" xfId="0" applyNumberFormat="1"/>
    <xf numFmtId="49" fontId="2" fillId="0" borderId="2" xfId="0" applyNumberFormat="1" applyFont="1" applyBorder="1" applyAlignment="1">
      <alignment horizontal="center" vertical="center" textRotation="90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dados_filtrado!$Z$1</c:f>
              <c:strCache>
                <c:ptCount val="1"/>
                <c:pt idx="0">
                  <c:v>raso_sobre_custo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dados_filtrado!$Z$2:$Z$171</c:f>
              <c:numCache>
                <c:formatCode>0.00</c:formatCode>
                <c:ptCount val="170"/>
                <c:pt idx="0">
                  <c:v>2.5910651828298885</c:v>
                </c:pt>
                <c:pt idx="1">
                  <c:v>1.8263939382342811</c:v>
                </c:pt>
                <c:pt idx="2">
                  <c:v>2.0050813712768805</c:v>
                </c:pt>
                <c:pt idx="3">
                  <c:v>2.061136400918635</c:v>
                </c:pt>
                <c:pt idx="4">
                  <c:v>2.2454528582034148</c:v>
                </c:pt>
                <c:pt idx="5">
                  <c:v>1.9968441639256822</c:v>
                </c:pt>
                <c:pt idx="6">
                  <c:v>2.5177249749376105</c:v>
                </c:pt>
                <c:pt idx="7">
                  <c:v>2.1903916599115507</c:v>
                </c:pt>
                <c:pt idx="8">
                  <c:v>2.0718102037104402</c:v>
                </c:pt>
                <c:pt idx="9">
                  <c:v>2.255702076481795</c:v>
                </c:pt>
                <c:pt idx="10">
                  <c:v>1.9163588741444051</c:v>
                </c:pt>
                <c:pt idx="11">
                  <c:v>2.0979103047721694</c:v>
                </c:pt>
                <c:pt idx="12">
                  <c:v>2.3993509838261047</c:v>
                </c:pt>
                <c:pt idx="13">
                  <c:v>2.2196818090854511</c:v>
                </c:pt>
                <c:pt idx="14">
                  <c:v>2.1363711493564184</c:v>
                </c:pt>
                <c:pt idx="15">
                  <c:v>2.218523132839358</c:v>
                </c:pt>
                <c:pt idx="16">
                  <c:v>2.2338072839096101</c:v>
                </c:pt>
                <c:pt idx="17">
                  <c:v>2.2143473881133975</c:v>
                </c:pt>
                <c:pt idx="18">
                  <c:v>2.0591323038633407</c:v>
                </c:pt>
                <c:pt idx="19">
                  <c:v>1.8809360287457573</c:v>
                </c:pt>
                <c:pt idx="20">
                  <c:v>2.2633044466543542</c:v>
                </c:pt>
                <c:pt idx="21">
                  <c:v>2.5488299032506578</c:v>
                </c:pt>
                <c:pt idx="22">
                  <c:v>1.8340162438876899</c:v>
                </c:pt>
                <c:pt idx="23">
                  <c:v>1.9051667409624489</c:v>
                </c:pt>
                <c:pt idx="24">
                  <c:v>2.1979072815136376</c:v>
                </c:pt>
                <c:pt idx="25">
                  <c:v>2.1739102329289577</c:v>
                </c:pt>
                <c:pt idx="26">
                  <c:v>2.6103076817964426</c:v>
                </c:pt>
                <c:pt idx="27">
                  <c:v>2.0816081237433024</c:v>
                </c:pt>
                <c:pt idx="28">
                  <c:v>2.0475332789238174</c:v>
                </c:pt>
                <c:pt idx="29">
                  <c:v>1.8850225053402503</c:v>
                </c:pt>
                <c:pt idx="30">
                  <c:v>2.0148365056124939</c:v>
                </c:pt>
                <c:pt idx="31">
                  <c:v>1.9053284731990872</c:v>
                </c:pt>
                <c:pt idx="32">
                  <c:v>2.3811182025960584</c:v>
                </c:pt>
                <c:pt idx="33">
                  <c:v>2.0479627623633889</c:v>
                </c:pt>
                <c:pt idx="34">
                  <c:v>1.9120129405680204</c:v>
                </c:pt>
                <c:pt idx="35">
                  <c:v>2.5320486955152495</c:v>
                </c:pt>
                <c:pt idx="36">
                  <c:v>1.9561154958576401</c:v>
                </c:pt>
                <c:pt idx="37">
                  <c:v>2.1144046815214943</c:v>
                </c:pt>
                <c:pt idx="38">
                  <c:v>2.0812348840517854</c:v>
                </c:pt>
                <c:pt idx="39">
                  <c:v>2.4908783205230232</c:v>
                </c:pt>
                <c:pt idx="40">
                  <c:v>1.953888726786706</c:v>
                </c:pt>
                <c:pt idx="41">
                  <c:v>1.9912714548226922</c:v>
                </c:pt>
                <c:pt idx="42">
                  <c:v>2.1227010649832296</c:v>
                </c:pt>
                <c:pt idx="43">
                  <c:v>2.1610635696821516</c:v>
                </c:pt>
                <c:pt idx="44">
                  <c:v>2.0058785357101958</c:v>
                </c:pt>
                <c:pt idx="45">
                  <c:v>2.0606333934656242</c:v>
                </c:pt>
                <c:pt idx="46">
                  <c:v>2.0732333182766145</c:v>
                </c:pt>
                <c:pt idx="47">
                  <c:v>2.0645954966673723</c:v>
                </c:pt>
                <c:pt idx="48">
                  <c:v>2.056885610882806</c:v>
                </c:pt>
                <c:pt idx="49">
                  <c:v>2.2358996813803125</c:v>
                </c:pt>
                <c:pt idx="50">
                  <c:v>1.9976468494478006</c:v>
                </c:pt>
                <c:pt idx="51">
                  <c:v>2.0762042612320517</c:v>
                </c:pt>
                <c:pt idx="52">
                  <c:v>2.0614039515795213</c:v>
                </c:pt>
                <c:pt idx="53">
                  <c:v>2.2582130401750162</c:v>
                </c:pt>
                <c:pt idx="54">
                  <c:v>2.0650695635279308</c:v>
                </c:pt>
                <c:pt idx="55">
                  <c:v>1.9211992701809755</c:v>
                </c:pt>
                <c:pt idx="56">
                  <c:v>1.9211992701809755</c:v>
                </c:pt>
                <c:pt idx="57">
                  <c:v>2.0319995105237396</c:v>
                </c:pt>
                <c:pt idx="58">
                  <c:v>2.5277048864753144</c:v>
                </c:pt>
                <c:pt idx="59">
                  <c:v>2.0692337211370169</c:v>
                </c:pt>
                <c:pt idx="60">
                  <c:v>2.0994587026364808</c:v>
                </c:pt>
                <c:pt idx="61">
                  <c:v>1.7967817830434418</c:v>
                </c:pt>
                <c:pt idx="62">
                  <c:v>2.3443313347945005</c:v>
                </c:pt>
                <c:pt idx="63">
                  <c:v>2.0684702997094595</c:v>
                </c:pt>
                <c:pt idx="64">
                  <c:v>2.1431665015828623</c:v>
                </c:pt>
                <c:pt idx="65">
                  <c:v>2.2076963313440645</c:v>
                </c:pt>
                <c:pt idx="66">
                  <c:v>2.3123719011501156</c:v>
                </c:pt>
                <c:pt idx="67">
                  <c:v>2.2975449409347712</c:v>
                </c:pt>
                <c:pt idx="68">
                  <c:v>1.9221606858356726</c:v>
                </c:pt>
                <c:pt idx="69">
                  <c:v>2.0352403309164568</c:v>
                </c:pt>
                <c:pt idx="70">
                  <c:v>2.2086524395490921</c:v>
                </c:pt>
                <c:pt idx="71">
                  <c:v>1.9338638356965356</c:v>
                </c:pt>
                <c:pt idx="72">
                  <c:v>2.2882632787920354</c:v>
                </c:pt>
                <c:pt idx="73">
                  <c:v>2.3185466248162423</c:v>
                </c:pt>
                <c:pt idx="74">
                  <c:v>2.6197857720291027</c:v>
                </c:pt>
                <c:pt idx="75">
                  <c:v>2.2377294192103596</c:v>
                </c:pt>
                <c:pt idx="76">
                  <c:v>2.2574416901997698</c:v>
                </c:pt>
                <c:pt idx="77">
                  <c:v>2.1037135051261791</c:v>
                </c:pt>
                <c:pt idx="78">
                  <c:v>2.2877080679752222</c:v>
                </c:pt>
                <c:pt idx="79">
                  <c:v>2.3529186960076789</c:v>
                </c:pt>
                <c:pt idx="80">
                  <c:v>2.0844421799368988</c:v>
                </c:pt>
                <c:pt idx="81">
                  <c:v>2.0542267631821218</c:v>
                </c:pt>
                <c:pt idx="82">
                  <c:v>2.7157537475252194</c:v>
                </c:pt>
                <c:pt idx="83">
                  <c:v>2.0661481186012498</c:v>
                </c:pt>
                <c:pt idx="84">
                  <c:v>2.2860320418407527</c:v>
                </c:pt>
                <c:pt idx="85">
                  <c:v>2.0731751412429378</c:v>
                </c:pt>
                <c:pt idx="86">
                  <c:v>2.0651503645895279</c:v>
                </c:pt>
                <c:pt idx="87">
                  <c:v>2.235544350027495</c:v>
                </c:pt>
                <c:pt idx="88">
                  <c:v>2.0429690645743936</c:v>
                </c:pt>
                <c:pt idx="89">
                  <c:v>2.2021320031243343</c:v>
                </c:pt>
                <c:pt idx="90">
                  <c:v>1.9463782020531517</c:v>
                </c:pt>
                <c:pt idx="91">
                  <c:v>2.2708630510746253</c:v>
                </c:pt>
                <c:pt idx="92">
                  <c:v>2.0069333709221295</c:v>
                </c:pt>
                <c:pt idx="93">
                  <c:v>2.3275697740466539</c:v>
                </c:pt>
                <c:pt idx="94">
                  <c:v>2.0607088084631355</c:v>
                </c:pt>
                <c:pt idx="95">
                  <c:v>2.2925466572171036</c:v>
                </c:pt>
                <c:pt idx="96">
                  <c:v>2.1971781337835457</c:v>
                </c:pt>
                <c:pt idx="97">
                  <c:v>2.1249509261572506</c:v>
                </c:pt>
                <c:pt idx="98">
                  <c:v>2.0844421799368988</c:v>
                </c:pt>
                <c:pt idx="99">
                  <c:v>2.1351076007326006</c:v>
                </c:pt>
                <c:pt idx="100">
                  <c:v>2.563923410834275</c:v>
                </c:pt>
                <c:pt idx="101">
                  <c:v>2.0666958847459149</c:v>
                </c:pt>
                <c:pt idx="102">
                  <c:v>2.2864358108108109</c:v>
                </c:pt>
                <c:pt idx="103">
                  <c:v>2.2610021015834705</c:v>
                </c:pt>
                <c:pt idx="104">
                  <c:v>2.1510526103119445</c:v>
                </c:pt>
                <c:pt idx="105">
                  <c:v>2.2740996640007571</c:v>
                </c:pt>
                <c:pt idx="106">
                  <c:v>2.5171060575568527</c:v>
                </c:pt>
                <c:pt idx="107">
                  <c:v>2.2320778500478999</c:v>
                </c:pt>
                <c:pt idx="108">
                  <c:v>1.9762353250824467</c:v>
                </c:pt>
                <c:pt idx="109">
                  <c:v>1.8981288760513126</c:v>
                </c:pt>
                <c:pt idx="110">
                  <c:v>2.535336012671185</c:v>
                </c:pt>
                <c:pt idx="111">
                  <c:v>2.053950734667072</c:v>
                </c:pt>
                <c:pt idx="112">
                  <c:v>2.1161733098416153</c:v>
                </c:pt>
                <c:pt idx="113">
                  <c:v>2.9222044267072755</c:v>
                </c:pt>
                <c:pt idx="114">
                  <c:v>2.2144989936982413</c:v>
                </c:pt>
                <c:pt idx="115">
                  <c:v>2.4370631860585776</c:v>
                </c:pt>
                <c:pt idx="116">
                  <c:v>1.9538924090922445</c:v>
                </c:pt>
                <c:pt idx="117">
                  <c:v>2.2862304377641989</c:v>
                </c:pt>
                <c:pt idx="118">
                  <c:v>2.2595097039855476</c:v>
                </c:pt>
                <c:pt idx="119">
                  <c:v>1.8818677730784299</c:v>
                </c:pt>
                <c:pt idx="120">
                  <c:v>2.1464036939611861</c:v>
                </c:pt>
                <c:pt idx="121">
                  <c:v>1.9294177922682814</c:v>
                </c:pt>
                <c:pt idx="122">
                  <c:v>2.1216889434841528</c:v>
                </c:pt>
                <c:pt idx="123">
                  <c:v>1.972976204711228</c:v>
                </c:pt>
                <c:pt idx="124">
                  <c:v>2.01813928295668</c:v>
                </c:pt>
                <c:pt idx="125">
                  <c:v>2.1906910952445102</c:v>
                </c:pt>
                <c:pt idx="126">
                  <c:v>1.9242607218048327</c:v>
                </c:pt>
                <c:pt idx="127">
                  <c:v>2.2966776511263571</c:v>
                </c:pt>
                <c:pt idx="128">
                  <c:v>2.126606468873919</c:v>
                </c:pt>
                <c:pt idx="129">
                  <c:v>2.1622975826085198</c:v>
                </c:pt>
                <c:pt idx="130">
                  <c:v>2.0277702830989996</c:v>
                </c:pt>
                <c:pt idx="131">
                  <c:v>2.1002658160552898</c:v>
                </c:pt>
                <c:pt idx="132">
                  <c:v>2.5871533252025265</c:v>
                </c:pt>
                <c:pt idx="133">
                  <c:v>2.0747315623939775</c:v>
                </c:pt>
                <c:pt idx="134">
                  <c:v>1.964922187553837</c:v>
                </c:pt>
                <c:pt idx="135">
                  <c:v>2.3118950709848294</c:v>
                </c:pt>
                <c:pt idx="136">
                  <c:v>2.0786036545315545</c:v>
                </c:pt>
                <c:pt idx="137">
                  <c:v>2.018796992481203</c:v>
                </c:pt>
                <c:pt idx="138">
                  <c:v>1.9784596216614607</c:v>
                </c:pt>
                <c:pt idx="139">
                  <c:v>1.9786574041540763</c:v>
                </c:pt>
                <c:pt idx="140">
                  <c:v>2.0527449840652623</c:v>
                </c:pt>
                <c:pt idx="141">
                  <c:v>2.3734752302713469</c:v>
                </c:pt>
                <c:pt idx="142">
                  <c:v>2.031854274569393</c:v>
                </c:pt>
                <c:pt idx="143">
                  <c:v>1.9242248703519806</c:v>
                </c:pt>
                <c:pt idx="144">
                  <c:v>2.1715026940730393</c:v>
                </c:pt>
                <c:pt idx="145">
                  <c:v>2.044500734586352</c:v>
                </c:pt>
                <c:pt idx="146">
                  <c:v>2.1813879585281377</c:v>
                </c:pt>
                <c:pt idx="147">
                  <c:v>2.0666958847459149</c:v>
                </c:pt>
                <c:pt idx="148">
                  <c:v>2.3203659648497679</c:v>
                </c:pt>
                <c:pt idx="149">
                  <c:v>1.890136582646438</c:v>
                </c:pt>
                <c:pt idx="150">
                  <c:v>2.5605879087163603</c:v>
                </c:pt>
                <c:pt idx="151">
                  <c:v>2.0302545221706421</c:v>
                </c:pt>
                <c:pt idx="152">
                  <c:v>3.2684531653338627</c:v>
                </c:pt>
                <c:pt idx="153">
                  <c:v>2.0759641333681551</c:v>
                </c:pt>
                <c:pt idx="154">
                  <c:v>2.0173924813047743</c:v>
                </c:pt>
                <c:pt idx="155">
                  <c:v>2.3206450302959061</c:v>
                </c:pt>
                <c:pt idx="156">
                  <c:v>1.9952404224125109</c:v>
                </c:pt>
                <c:pt idx="157">
                  <c:v>1.8203804347826087</c:v>
                </c:pt>
                <c:pt idx="158">
                  <c:v>1.9483246290629315</c:v>
                </c:pt>
                <c:pt idx="159">
                  <c:v>2.2831022986488856</c:v>
                </c:pt>
                <c:pt idx="160">
                  <c:v>2.5438427522498732</c:v>
                </c:pt>
                <c:pt idx="161">
                  <c:v>1.9291450121878306</c:v>
                </c:pt>
                <c:pt idx="162">
                  <c:v>2.4168805166238965</c:v>
                </c:pt>
                <c:pt idx="163">
                  <c:v>2.2429848789850664</c:v>
                </c:pt>
                <c:pt idx="164">
                  <c:v>2.05984477124183</c:v>
                </c:pt>
                <c:pt idx="165">
                  <c:v>1.8988013305804083</c:v>
                </c:pt>
                <c:pt idx="166">
                  <c:v>2.3391337937272119</c:v>
                </c:pt>
                <c:pt idx="167">
                  <c:v>1.8995644349924339</c:v>
                </c:pt>
                <c:pt idx="168">
                  <c:v>2.1346129200800483</c:v>
                </c:pt>
                <c:pt idx="169">
                  <c:v>2.1242116929897477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23-4E28-AB3E-AADF9509E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004160"/>
        <c:axId val="327414832"/>
      </c:scatterChart>
      <c:valAx>
        <c:axId val="165600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414832"/>
        <c:crosses val="autoZero"/>
        <c:crossBetween val="midCat"/>
      </c:valAx>
      <c:valAx>
        <c:axId val="327414832"/>
        <c:scaling>
          <c:orientation val="minMax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004160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CE0F82D-D3AE-4570-84E6-239CEFC7DB78}">
  <sheetPr/>
  <sheetViews>
    <sheetView zoomScale="88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39483" cy="600807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F1C9F1-2A9C-2395-C770-5AF15CC55CE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9"/>
  <sheetViews>
    <sheetView workbookViewId="0"/>
  </sheetViews>
  <sheetFormatPr defaultRowHeight="14.25" x14ac:dyDescent="0.45"/>
  <cols>
    <col min="1" max="1" width="14.46484375" customWidth="1"/>
    <col min="2" max="2" width="24.796875" customWidth="1"/>
    <col min="3" max="3" width="19.6640625" bestFit="1" customWidth="1"/>
    <col min="4" max="4" width="40" bestFit="1" customWidth="1"/>
    <col min="5" max="5" width="14" customWidth="1"/>
    <col min="6" max="6" width="14" hidden="1" customWidth="1"/>
    <col min="7" max="7" width="16" hidden="1" customWidth="1"/>
    <col min="8" max="8" width="20" hidden="1" customWidth="1"/>
    <col min="9" max="9" width="14" hidden="1" customWidth="1"/>
    <col min="10" max="10" width="21" hidden="1" customWidth="1"/>
    <col min="11" max="11" width="26" style="10" hidden="1" customWidth="1"/>
    <col min="12" max="13" width="18" hidden="1" customWidth="1"/>
    <col min="14" max="14" width="19" hidden="1" customWidth="1"/>
    <col min="15" max="15" width="20" hidden="1" customWidth="1"/>
    <col min="16" max="16" width="17" hidden="1" customWidth="1"/>
    <col min="17" max="18" width="14" hidden="1" customWidth="1"/>
    <col min="19" max="19" width="28" customWidth="1"/>
    <col min="20" max="20" width="27" customWidth="1"/>
    <col min="21" max="21" width="18" customWidth="1"/>
    <col min="22" max="22" width="19" customWidth="1"/>
    <col min="23" max="25" width="14" customWidth="1"/>
    <col min="26" max="26" width="16.7304687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0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 t="s">
        <v>31</v>
      </c>
      <c r="B2" t="s">
        <v>32</v>
      </c>
      <c r="C2" t="s">
        <v>33</v>
      </c>
      <c r="D2" t="s">
        <v>34</v>
      </c>
      <c r="E2" t="s">
        <v>30</v>
      </c>
      <c r="F2">
        <v>388</v>
      </c>
      <c r="G2">
        <v>203835</v>
      </c>
      <c r="H2" s="1">
        <v>3.3000000000000002E-2</v>
      </c>
      <c r="I2">
        <v>398</v>
      </c>
      <c r="J2">
        <v>40555</v>
      </c>
      <c r="K2" s="10">
        <v>0.48699999999999999</v>
      </c>
      <c r="L2">
        <v>18</v>
      </c>
      <c r="M2">
        <v>104524</v>
      </c>
      <c r="O2">
        <v>214464</v>
      </c>
      <c r="P2">
        <v>190902</v>
      </c>
      <c r="Q2" s="1">
        <v>0.20300000000000001</v>
      </c>
      <c r="R2" s="1">
        <v>0.2</v>
      </c>
      <c r="S2" s="1">
        <v>0.40100000000000002</v>
      </c>
      <c r="T2" s="5">
        <v>0.245</v>
      </c>
      <c r="U2">
        <v>16047</v>
      </c>
      <c r="V2" s="1">
        <v>0.12</v>
      </c>
      <c r="W2">
        <v>2521</v>
      </c>
      <c r="X2" s="1">
        <v>0.5</v>
      </c>
      <c r="Y2" s="1">
        <f>(O2-P2)/O2</f>
        <v>0.10986459265890779</v>
      </c>
      <c r="Z2" s="2">
        <f>P2/M2</f>
        <v>1.8263939382342811</v>
      </c>
    </row>
    <row r="3" spans="1:26" x14ac:dyDescent="0.45">
      <c r="A3" t="s">
        <v>31</v>
      </c>
      <c r="B3" t="s">
        <v>32</v>
      </c>
      <c r="C3" t="s">
        <v>33</v>
      </c>
      <c r="D3" t="s">
        <v>34</v>
      </c>
      <c r="E3" t="s">
        <v>35</v>
      </c>
      <c r="F3">
        <v>597</v>
      </c>
      <c r="G3">
        <v>204302</v>
      </c>
      <c r="H3" s="1">
        <v>3.3000000000000002E-2</v>
      </c>
      <c r="I3">
        <v>398</v>
      </c>
      <c r="J3">
        <v>60520</v>
      </c>
      <c r="K3" s="10">
        <v>0.46700000000000003</v>
      </c>
      <c r="L3">
        <v>18</v>
      </c>
      <c r="M3">
        <v>101373</v>
      </c>
      <c r="O3">
        <v>217040</v>
      </c>
      <c r="P3">
        <v>193235</v>
      </c>
      <c r="Q3" s="1">
        <v>0.20100000000000001</v>
      </c>
      <c r="R3" s="1">
        <v>0.2</v>
      </c>
      <c r="S3" s="1">
        <v>0.42</v>
      </c>
      <c r="T3" s="1">
        <v>0.34100000000000003</v>
      </c>
      <c r="U3">
        <v>16950</v>
      </c>
      <c r="V3" s="1">
        <v>0.127</v>
      </c>
      <c r="W3">
        <v>2555</v>
      </c>
      <c r="X3" s="1">
        <v>0.41199999999999998</v>
      </c>
      <c r="Y3" s="1">
        <f>(O3-P3)/O3</f>
        <v>0.10968024327312938</v>
      </c>
      <c r="Z3" s="2">
        <f>P3/M3</f>
        <v>1.9061781736754362</v>
      </c>
    </row>
    <row r="4" spans="1:26" x14ac:dyDescent="0.45">
      <c r="A4" t="s">
        <v>305</v>
      </c>
      <c r="B4" t="s">
        <v>306</v>
      </c>
      <c r="C4" t="s">
        <v>307</v>
      </c>
      <c r="D4" t="s">
        <v>29</v>
      </c>
      <c r="E4" t="s">
        <v>30</v>
      </c>
      <c r="F4">
        <v>600</v>
      </c>
      <c r="G4">
        <v>234</v>
      </c>
      <c r="H4" s="1">
        <v>7.0000000000000007E-2</v>
      </c>
      <c r="I4">
        <v>848</v>
      </c>
      <c r="J4">
        <v>61094</v>
      </c>
      <c r="K4" s="10">
        <v>0.46</v>
      </c>
      <c r="L4">
        <v>17</v>
      </c>
      <c r="M4">
        <v>101823.4</v>
      </c>
      <c r="O4">
        <v>220700</v>
      </c>
      <c r="P4">
        <v>201227</v>
      </c>
      <c r="Q4" s="1">
        <v>0.2</v>
      </c>
      <c r="R4" s="1">
        <v>0.2</v>
      </c>
      <c r="S4" s="1">
        <v>0.4</v>
      </c>
      <c r="T4" s="1">
        <v>0.33200000000000002</v>
      </c>
      <c r="U4">
        <v>13557</v>
      </c>
      <c r="V4" s="3">
        <v>0.09</v>
      </c>
      <c r="W4">
        <v>3373</v>
      </c>
      <c r="X4" s="1">
        <v>0.29799999999999999</v>
      </c>
      <c r="Y4" s="1">
        <f>(O4-P4)/O4</f>
        <v>8.8232895333031261E-2</v>
      </c>
      <c r="Z4" s="2">
        <f>P4/M4</f>
        <v>1.9762353250824467</v>
      </c>
    </row>
    <row r="5" spans="1:26" x14ac:dyDescent="0.45">
      <c r="A5" t="s">
        <v>258</v>
      </c>
      <c r="B5" t="s">
        <v>259</v>
      </c>
      <c r="C5" t="s">
        <v>260</v>
      </c>
      <c r="D5" t="s">
        <v>234</v>
      </c>
      <c r="E5" t="s">
        <v>30</v>
      </c>
      <c r="F5">
        <v>642</v>
      </c>
      <c r="G5">
        <v>269717</v>
      </c>
      <c r="H5" s="1">
        <v>0.08</v>
      </c>
      <c r="I5">
        <v>1618</v>
      </c>
      <c r="J5">
        <v>72330</v>
      </c>
      <c r="K5" s="10">
        <v>0.41499999999999998</v>
      </c>
      <c r="L5">
        <v>23</v>
      </c>
      <c r="M5">
        <v>112664</v>
      </c>
      <c r="O5">
        <v>271451</v>
      </c>
      <c r="P5">
        <v>248101</v>
      </c>
      <c r="Q5" s="1">
        <v>0.20699999999999999</v>
      </c>
      <c r="R5" s="1">
        <v>0.2</v>
      </c>
      <c r="S5" s="1">
        <v>0.40300000000000002</v>
      </c>
      <c r="T5" s="1">
        <v>0.33900000000000002</v>
      </c>
      <c r="U5">
        <v>17174</v>
      </c>
      <c r="V5" s="1">
        <v>0.1</v>
      </c>
      <c r="W5">
        <v>4886</v>
      </c>
      <c r="X5" s="1">
        <v>0</v>
      </c>
      <c r="Y5" s="1">
        <f>(O5-P5)/O5</f>
        <v>8.6019207886506216E-2</v>
      </c>
      <c r="Z5" s="2">
        <f>P5/M5</f>
        <v>2.2021320031243343</v>
      </c>
    </row>
    <row r="6" spans="1:26" x14ac:dyDescent="0.45">
      <c r="A6" t="s">
        <v>258</v>
      </c>
      <c r="B6" t="s">
        <v>259</v>
      </c>
      <c r="C6" t="s">
        <v>260</v>
      </c>
      <c r="D6" t="s">
        <v>234</v>
      </c>
      <c r="E6" t="s">
        <v>35</v>
      </c>
      <c r="F6">
        <v>642</v>
      </c>
      <c r="G6">
        <v>269717</v>
      </c>
      <c r="H6">
        <v>0.08</v>
      </c>
      <c r="I6">
        <v>1664</v>
      </c>
      <c r="J6">
        <v>72330</v>
      </c>
      <c r="K6" s="10">
        <v>0.40899999999999997</v>
      </c>
      <c r="L6">
        <v>23</v>
      </c>
      <c r="M6">
        <v>112664</v>
      </c>
      <c r="O6">
        <v>275377</v>
      </c>
      <c r="P6">
        <v>252026</v>
      </c>
      <c r="Q6" s="1">
        <v>0.21299999999999999</v>
      </c>
      <c r="R6" s="1">
        <v>0.2</v>
      </c>
      <c r="S6" s="1">
        <v>0.40699999999999997</v>
      </c>
      <c r="T6" s="1">
        <v>0.34300000000000003</v>
      </c>
      <c r="U6">
        <v>13648</v>
      </c>
      <c r="V6" s="1">
        <v>7.8E-2</v>
      </c>
      <c r="W6">
        <v>4886</v>
      </c>
      <c r="X6" s="1">
        <v>0</v>
      </c>
      <c r="Y6" s="1">
        <f>(O6-P6)/O6</f>
        <v>8.4796479008777056E-2</v>
      </c>
      <c r="Z6" s="2">
        <f>P6/M6</f>
        <v>2.2369701058013209</v>
      </c>
    </row>
    <row r="7" spans="1:26" x14ac:dyDescent="0.45">
      <c r="A7" t="s">
        <v>39</v>
      </c>
      <c r="B7" t="s">
        <v>40</v>
      </c>
      <c r="C7" t="s">
        <v>41</v>
      </c>
      <c r="D7" t="s">
        <v>29</v>
      </c>
      <c r="E7" t="s">
        <v>30</v>
      </c>
      <c r="F7">
        <v>712</v>
      </c>
      <c r="G7">
        <v>239775</v>
      </c>
      <c r="H7" s="1">
        <v>9.3000000000000013E-2</v>
      </c>
      <c r="I7">
        <v>1035</v>
      </c>
      <c r="J7">
        <v>69445</v>
      </c>
      <c r="K7" s="10">
        <v>0.435</v>
      </c>
      <c r="L7">
        <v>17</v>
      </c>
      <c r="M7">
        <v>97536</v>
      </c>
      <c r="O7">
        <v>224103</v>
      </c>
      <c r="P7">
        <v>201035</v>
      </c>
      <c r="Q7" s="1">
        <v>0.2</v>
      </c>
      <c r="R7" s="1">
        <v>0.2</v>
      </c>
      <c r="S7" s="1">
        <v>0.38500000000000001</v>
      </c>
      <c r="T7" s="1">
        <v>0.30599999999999999</v>
      </c>
      <c r="U7">
        <v>11267</v>
      </c>
      <c r="V7" s="1">
        <v>6.4000000000000001E-2</v>
      </c>
      <c r="W7">
        <v>3204</v>
      </c>
      <c r="X7" s="1">
        <v>0.38100000000000001</v>
      </c>
      <c r="Y7" s="1">
        <f>(O7-P7)/O7</f>
        <v>0.10293481122519556</v>
      </c>
      <c r="Z7" s="2">
        <f>P7/M7</f>
        <v>2.061136400918635</v>
      </c>
    </row>
    <row r="8" spans="1:26" x14ac:dyDescent="0.45">
      <c r="A8" t="s">
        <v>206</v>
      </c>
      <c r="B8" t="s">
        <v>207</v>
      </c>
      <c r="C8" t="s">
        <v>208</v>
      </c>
      <c r="D8" t="s">
        <v>60</v>
      </c>
      <c r="E8" t="s">
        <v>30</v>
      </c>
      <c r="F8">
        <v>696</v>
      </c>
      <c r="G8">
        <v>232598</v>
      </c>
      <c r="H8" s="1">
        <v>0.06</v>
      </c>
      <c r="I8">
        <v>792</v>
      </c>
      <c r="J8">
        <v>73392</v>
      </c>
      <c r="K8" s="10">
        <v>0.46800000000000003</v>
      </c>
      <c r="L8">
        <v>22</v>
      </c>
      <c r="M8">
        <v>105448</v>
      </c>
      <c r="O8">
        <v>225486</v>
      </c>
      <c r="P8">
        <v>202688</v>
      </c>
      <c r="Q8" s="1">
        <v>0.2</v>
      </c>
      <c r="R8" s="1">
        <v>0.2</v>
      </c>
      <c r="S8" s="1">
        <v>0.38200000000000001</v>
      </c>
      <c r="T8" s="1">
        <v>0.30399999999999999</v>
      </c>
      <c r="U8">
        <v>18827</v>
      </c>
      <c r="V8" s="1">
        <v>0.11899999999999999</v>
      </c>
      <c r="W8">
        <v>3205</v>
      </c>
      <c r="X8" s="1">
        <v>0.40300000000000002</v>
      </c>
      <c r="Y8" s="1">
        <f>(O8-P8)/O8</f>
        <v>0.10110605536485635</v>
      </c>
      <c r="Z8" s="2">
        <f>P8/M8</f>
        <v>1.9221606858356726</v>
      </c>
    </row>
    <row r="9" spans="1:26" x14ac:dyDescent="0.45">
      <c r="A9" t="s">
        <v>261</v>
      </c>
      <c r="B9" t="s">
        <v>207</v>
      </c>
      <c r="C9" t="s">
        <v>260</v>
      </c>
      <c r="D9" t="s">
        <v>34</v>
      </c>
      <c r="E9" t="s">
        <v>35</v>
      </c>
      <c r="F9">
        <v>696</v>
      </c>
      <c r="G9">
        <v>232598</v>
      </c>
      <c r="H9" s="1">
        <v>0.06</v>
      </c>
      <c r="I9">
        <v>793</v>
      </c>
      <c r="J9">
        <v>72544</v>
      </c>
      <c r="K9" s="10">
        <v>0.46300000000000002</v>
      </c>
      <c r="L9">
        <v>22</v>
      </c>
      <c r="M9">
        <v>104230</v>
      </c>
      <c r="O9">
        <v>224978</v>
      </c>
      <c r="P9">
        <v>202871</v>
      </c>
      <c r="Q9" s="1">
        <v>0.20100000000000001</v>
      </c>
      <c r="R9" s="1">
        <v>0.2</v>
      </c>
      <c r="S9" s="1">
        <v>0.38400000000000001</v>
      </c>
      <c r="T9" s="1">
        <v>0.308</v>
      </c>
      <c r="U9">
        <v>19280</v>
      </c>
      <c r="V9" s="1">
        <v>0.124</v>
      </c>
      <c r="W9">
        <v>3243</v>
      </c>
      <c r="X9" s="1">
        <v>0.33300000000000002</v>
      </c>
      <c r="Y9" s="1">
        <f>(O9-P9)/O9</f>
        <v>9.8262941265368164E-2</v>
      </c>
      <c r="Z9" s="2">
        <f>P9/M9</f>
        <v>1.9463782020531517</v>
      </c>
    </row>
    <row r="10" spans="1:26" x14ac:dyDescent="0.45">
      <c r="A10" t="s">
        <v>231</v>
      </c>
      <c r="B10" t="s">
        <v>232</v>
      </c>
      <c r="C10" t="s">
        <v>233</v>
      </c>
      <c r="D10" t="s">
        <v>234</v>
      </c>
      <c r="E10" t="s">
        <v>30</v>
      </c>
      <c r="F10">
        <v>577</v>
      </c>
      <c r="G10">
        <v>248000</v>
      </c>
      <c r="H10" s="1">
        <v>8.5999999999999993E-2</v>
      </c>
      <c r="I10">
        <v>3608</v>
      </c>
      <c r="J10">
        <v>60613</v>
      </c>
      <c r="K10" s="10">
        <v>0.44600000000000001</v>
      </c>
      <c r="L10">
        <v>23</v>
      </c>
      <c r="M10">
        <v>105049</v>
      </c>
      <c r="O10">
        <v>235485</v>
      </c>
      <c r="P10">
        <v>220993</v>
      </c>
      <c r="Q10" s="1">
        <v>0.2</v>
      </c>
      <c r="R10" s="1">
        <v>0.2</v>
      </c>
      <c r="S10" s="1">
        <v>0.36499999999999999</v>
      </c>
      <c r="T10" s="1">
        <v>0.318</v>
      </c>
      <c r="U10">
        <v>9982</v>
      </c>
      <c r="V10" s="1">
        <v>7.400000000000001E-2</v>
      </c>
      <c r="W10">
        <v>3648</v>
      </c>
      <c r="X10" s="1">
        <v>0.25</v>
      </c>
      <c r="Y10" s="1">
        <f>(O10-P10)/O10</f>
        <v>6.1541074803066011E-2</v>
      </c>
      <c r="Z10" s="2">
        <f>P10/M10</f>
        <v>2.1037135051261791</v>
      </c>
    </row>
    <row r="11" spans="1:26" x14ac:dyDescent="0.45">
      <c r="A11" t="s">
        <v>231</v>
      </c>
      <c r="B11" t="s">
        <v>232</v>
      </c>
      <c r="C11" t="s">
        <v>233</v>
      </c>
      <c r="D11" t="s">
        <v>234</v>
      </c>
      <c r="E11" t="s">
        <v>35</v>
      </c>
      <c r="F11">
        <v>577</v>
      </c>
      <c r="G11">
        <v>248000</v>
      </c>
      <c r="H11" s="1">
        <v>8.5999999999999993E-2</v>
      </c>
      <c r="I11">
        <v>3608</v>
      </c>
      <c r="J11">
        <v>60613</v>
      </c>
      <c r="K11" s="10">
        <v>0.44800000000000001</v>
      </c>
      <c r="L11">
        <v>23</v>
      </c>
      <c r="M11">
        <v>105049</v>
      </c>
      <c r="O11">
        <v>234664</v>
      </c>
      <c r="P11">
        <v>217861</v>
      </c>
      <c r="Q11" s="1">
        <v>0.19500000000000001</v>
      </c>
      <c r="R11" s="1">
        <v>0.2</v>
      </c>
      <c r="S11" s="1">
        <v>0.36899999999999999</v>
      </c>
      <c r="T11" s="1">
        <v>0.314</v>
      </c>
      <c r="U11">
        <v>13375</v>
      </c>
      <c r="V11" s="1">
        <v>0.1</v>
      </c>
      <c r="W11">
        <v>3658</v>
      </c>
      <c r="X11" s="1">
        <v>0.25</v>
      </c>
      <c r="Y11" s="1">
        <f>(O11-P11)/O11</f>
        <v>7.1604506869396248E-2</v>
      </c>
      <c r="Z11" s="2">
        <f>P11/M11</f>
        <v>2.0738988472046378</v>
      </c>
    </row>
    <row r="12" spans="1:26" x14ac:dyDescent="0.45">
      <c r="A12" t="s">
        <v>133</v>
      </c>
      <c r="B12" t="s">
        <v>134</v>
      </c>
      <c r="C12" t="s">
        <v>135</v>
      </c>
      <c r="D12" t="s">
        <v>136</v>
      </c>
      <c r="E12" t="s">
        <v>30</v>
      </c>
      <c r="F12">
        <v>707</v>
      </c>
      <c r="G12">
        <v>277595</v>
      </c>
      <c r="H12" s="1">
        <v>0.127</v>
      </c>
      <c r="I12">
        <v>5273</v>
      </c>
      <c r="J12">
        <v>70183</v>
      </c>
      <c r="K12" s="10">
        <v>0.38800000000000001</v>
      </c>
      <c r="L12">
        <v>22</v>
      </c>
      <c r="M12">
        <v>99269</v>
      </c>
      <c r="O12">
        <v>255663</v>
      </c>
      <c r="P12">
        <v>247267</v>
      </c>
      <c r="Q12" s="1">
        <v>0.2</v>
      </c>
      <c r="R12" s="1">
        <v>0.2</v>
      </c>
      <c r="S12" s="1">
        <v>0.377</v>
      </c>
      <c r="T12" s="1">
        <v>0.35299999999999998</v>
      </c>
      <c r="U12">
        <v>22565</v>
      </c>
      <c r="V12" s="1">
        <v>0.114</v>
      </c>
      <c r="W12">
        <v>4495</v>
      </c>
      <c r="X12" s="1">
        <v>0.13</v>
      </c>
      <c r="Y12" s="1">
        <f>(O12-P12)/O12</f>
        <v>3.2840105920684648E-2</v>
      </c>
      <c r="Z12" s="2">
        <f>P12/M12</f>
        <v>2.4908783205230232</v>
      </c>
    </row>
    <row r="13" spans="1:26" x14ac:dyDescent="0.45">
      <c r="A13" t="s">
        <v>169</v>
      </c>
      <c r="B13" t="s">
        <v>170</v>
      </c>
      <c r="C13" t="s">
        <v>171</v>
      </c>
      <c r="D13" t="s">
        <v>29</v>
      </c>
      <c r="E13" t="s">
        <v>30</v>
      </c>
      <c r="F13">
        <v>428</v>
      </c>
      <c r="G13">
        <v>290000</v>
      </c>
      <c r="H13" s="1">
        <v>0.105</v>
      </c>
      <c r="I13">
        <v>2846</v>
      </c>
      <c r="J13">
        <v>46758</v>
      </c>
      <c r="K13" s="10">
        <v>0.40899999999999997</v>
      </c>
      <c r="L13">
        <v>18</v>
      </c>
      <c r="M13">
        <v>109247</v>
      </c>
      <c r="O13">
        <v>266782</v>
      </c>
      <c r="P13">
        <v>246703</v>
      </c>
      <c r="Q13" s="1">
        <v>0.185</v>
      </c>
      <c r="R13" s="1">
        <v>0.2</v>
      </c>
      <c r="S13" s="1">
        <v>0.39600000000000002</v>
      </c>
      <c r="T13" s="1">
        <v>0.34100000000000003</v>
      </c>
      <c r="U13">
        <v>22248</v>
      </c>
      <c r="V13" s="1">
        <v>0.187</v>
      </c>
      <c r="W13">
        <v>5211</v>
      </c>
      <c r="X13" s="1">
        <v>0</v>
      </c>
      <c r="Y13" s="1">
        <f>(O13-P13)/O13</f>
        <v>7.5263698450420191E-2</v>
      </c>
      <c r="Z13" s="2">
        <f>P13/M13</f>
        <v>2.2582130401750162</v>
      </c>
    </row>
    <row r="14" spans="1:26" x14ac:dyDescent="0.45">
      <c r="A14" t="s">
        <v>341</v>
      </c>
      <c r="B14" t="s">
        <v>342</v>
      </c>
      <c r="C14" t="s">
        <v>343</v>
      </c>
      <c r="D14" t="s">
        <v>204</v>
      </c>
      <c r="E14" t="s">
        <v>30</v>
      </c>
      <c r="F14">
        <v>874</v>
      </c>
      <c r="G14">
        <v>229573</v>
      </c>
      <c r="H14" s="1">
        <v>6.0999999999999999E-2</v>
      </c>
      <c r="I14">
        <v>999</v>
      </c>
      <c r="J14">
        <v>93824</v>
      </c>
      <c r="K14" s="10">
        <v>0.47299999999999998</v>
      </c>
      <c r="L14">
        <v>20</v>
      </c>
      <c r="M14">
        <v>107350</v>
      </c>
      <c r="O14">
        <v>226816</v>
      </c>
      <c r="P14">
        <v>207123</v>
      </c>
      <c r="Q14" s="1">
        <v>0.17899999999999999</v>
      </c>
      <c r="R14" s="1">
        <v>0.2</v>
      </c>
      <c r="S14" s="1">
        <v>0.38</v>
      </c>
      <c r="T14" s="1">
        <v>0.315</v>
      </c>
      <c r="U14">
        <v>13634</v>
      </c>
      <c r="V14" s="1">
        <v>6.7000000000000004E-2</v>
      </c>
      <c r="W14">
        <v>3189</v>
      </c>
      <c r="X14" s="1">
        <v>0.28699999999999998</v>
      </c>
      <c r="Y14" s="1">
        <f>(O14-P14)/O14</f>
        <v>8.6823680869074493E-2</v>
      </c>
      <c r="Z14" s="2">
        <f>P14/M14</f>
        <v>1.9294177922682814</v>
      </c>
    </row>
    <row r="15" spans="1:26" x14ac:dyDescent="0.45">
      <c r="A15" t="s">
        <v>341</v>
      </c>
      <c r="B15" t="s">
        <v>342</v>
      </c>
      <c r="C15" t="s">
        <v>343</v>
      </c>
      <c r="D15" t="s">
        <v>204</v>
      </c>
      <c r="E15" t="s">
        <v>83</v>
      </c>
      <c r="F15">
        <v>874</v>
      </c>
      <c r="G15">
        <v>229573</v>
      </c>
      <c r="H15">
        <v>6.0999999999999999E-2</v>
      </c>
      <c r="I15">
        <v>1031</v>
      </c>
      <c r="J15">
        <v>93824</v>
      </c>
      <c r="K15" s="10">
        <v>0.47299999999999998</v>
      </c>
      <c r="L15">
        <v>20</v>
      </c>
      <c r="M15">
        <v>107350</v>
      </c>
      <c r="O15">
        <v>226816</v>
      </c>
      <c r="P15">
        <v>207123</v>
      </c>
      <c r="Q15" s="1">
        <v>0.20200000000000001</v>
      </c>
      <c r="R15" s="1">
        <v>0.2</v>
      </c>
      <c r="S15" s="1">
        <v>0.37799999999999989</v>
      </c>
      <c r="T15" s="1">
        <v>0.312</v>
      </c>
      <c r="U15">
        <v>13634</v>
      </c>
      <c r="V15">
        <v>6.7000000000000004E-2</v>
      </c>
      <c r="W15">
        <v>3189</v>
      </c>
      <c r="X15">
        <v>0.28699999999999998</v>
      </c>
      <c r="Y15" s="1">
        <f>(O15-P15)/O15</f>
        <v>8.6823680869074493E-2</v>
      </c>
      <c r="Z15" s="2">
        <f>P15/M15</f>
        <v>1.9294177922682814</v>
      </c>
    </row>
    <row r="16" spans="1:26" x14ac:dyDescent="0.45">
      <c r="A16" t="s">
        <v>341</v>
      </c>
      <c r="B16" t="s">
        <v>342</v>
      </c>
      <c r="C16" t="s">
        <v>343</v>
      </c>
      <c r="D16" t="s">
        <v>204</v>
      </c>
      <c r="E16" t="s">
        <v>35</v>
      </c>
      <c r="F16">
        <v>874</v>
      </c>
      <c r="G16">
        <v>232530</v>
      </c>
      <c r="H16" s="1">
        <v>6.0999999999999999E-2</v>
      </c>
      <c r="I16">
        <v>1014</v>
      </c>
      <c r="J16">
        <v>93824</v>
      </c>
      <c r="K16" s="10">
        <v>0.46500000000000002</v>
      </c>
      <c r="L16">
        <v>20</v>
      </c>
      <c r="M16">
        <v>107350</v>
      </c>
      <c r="O16">
        <v>230963</v>
      </c>
      <c r="P16">
        <v>216255</v>
      </c>
      <c r="Q16" s="1">
        <v>0.2</v>
      </c>
      <c r="R16" s="1">
        <v>0.2</v>
      </c>
      <c r="S16" s="1">
        <v>0.39</v>
      </c>
      <c r="T16" s="1">
        <v>0.34300000000000003</v>
      </c>
      <c r="U16">
        <v>11831</v>
      </c>
      <c r="V16" s="1">
        <v>5.7000000000000002E-2</v>
      </c>
      <c r="W16">
        <v>3268</v>
      </c>
      <c r="X16" s="1">
        <v>0.28699999999999998</v>
      </c>
      <c r="Y16" s="1">
        <f>(O16-P16)/O16</f>
        <v>6.3681195689352835E-2</v>
      </c>
      <c r="Z16" s="2">
        <f>P16/M16</f>
        <v>2.0144853283651605</v>
      </c>
    </row>
    <row r="17" spans="1:26" x14ac:dyDescent="0.45">
      <c r="A17" t="s">
        <v>172</v>
      </c>
      <c r="B17" t="s">
        <v>173</v>
      </c>
      <c r="C17" t="s">
        <v>171</v>
      </c>
      <c r="D17" t="s">
        <v>29</v>
      </c>
      <c r="E17" t="s">
        <v>30</v>
      </c>
      <c r="F17">
        <v>357</v>
      </c>
      <c r="G17">
        <v>290000</v>
      </c>
      <c r="H17" s="1">
        <v>7.6999999999999999E-2</v>
      </c>
      <c r="I17">
        <v>721</v>
      </c>
      <c r="J17">
        <v>42262</v>
      </c>
      <c r="K17" s="10">
        <v>0.44600000000000001</v>
      </c>
      <c r="L17">
        <v>17</v>
      </c>
      <c r="M17">
        <v>118381</v>
      </c>
      <c r="O17">
        <v>265493</v>
      </c>
      <c r="P17">
        <v>244465</v>
      </c>
      <c r="Q17" s="1">
        <v>0.20100000000000001</v>
      </c>
      <c r="R17" s="1">
        <v>0.2</v>
      </c>
      <c r="S17" s="1">
        <v>0.38100000000000001</v>
      </c>
      <c r="T17" s="1">
        <v>0.32100000000000001</v>
      </c>
      <c r="U17">
        <v>11902</v>
      </c>
      <c r="V17" s="1">
        <v>0.112</v>
      </c>
      <c r="W17">
        <v>4904</v>
      </c>
      <c r="X17" s="1">
        <v>8.1000000000000003E-2</v>
      </c>
      <c r="Y17" s="1">
        <f>(O17-P17)/O17</f>
        <v>7.920359482170905E-2</v>
      </c>
      <c r="Z17" s="2">
        <f>P17/M17</f>
        <v>2.0650695635279308</v>
      </c>
    </row>
    <row r="18" spans="1:26" x14ac:dyDescent="0.45">
      <c r="A18" t="s">
        <v>172</v>
      </c>
      <c r="B18" t="s">
        <v>173</v>
      </c>
      <c r="C18" t="s">
        <v>171</v>
      </c>
      <c r="D18" t="s">
        <v>29</v>
      </c>
      <c r="E18" t="s">
        <v>30</v>
      </c>
      <c r="F18">
        <v>357</v>
      </c>
      <c r="G18">
        <v>290000</v>
      </c>
      <c r="H18">
        <v>7.6999999999999999E-2</v>
      </c>
      <c r="I18">
        <v>721</v>
      </c>
      <c r="J18">
        <v>42262</v>
      </c>
      <c r="K18" s="10">
        <v>0.44600000000000001</v>
      </c>
      <c r="L18">
        <v>17</v>
      </c>
      <c r="M18">
        <v>118381</v>
      </c>
      <c r="O18">
        <v>265493</v>
      </c>
      <c r="P18">
        <v>244465</v>
      </c>
      <c r="Q18">
        <v>0.20100000000000001</v>
      </c>
      <c r="R18">
        <v>0.2</v>
      </c>
      <c r="S18">
        <v>0.38100000000000001</v>
      </c>
      <c r="T18">
        <v>0.32100000000000001</v>
      </c>
      <c r="U18">
        <v>11902</v>
      </c>
      <c r="V18">
        <v>0.112</v>
      </c>
      <c r="W18">
        <v>4904</v>
      </c>
      <c r="X18">
        <v>8.1000000000000003E-2</v>
      </c>
      <c r="Y18" s="1">
        <f>(O18-P18)/O18</f>
        <v>7.920359482170905E-2</v>
      </c>
      <c r="Z18" s="2">
        <f>P18/M18</f>
        <v>2.0650695635279308</v>
      </c>
    </row>
    <row r="19" spans="1:26" x14ac:dyDescent="0.45">
      <c r="A19" t="s">
        <v>308</v>
      </c>
      <c r="B19" t="s">
        <v>309</v>
      </c>
      <c r="C19" t="s">
        <v>307</v>
      </c>
      <c r="D19" t="s">
        <v>60</v>
      </c>
      <c r="E19" t="s">
        <v>35</v>
      </c>
      <c r="F19">
        <v>730</v>
      </c>
      <c r="G19">
        <v>199353</v>
      </c>
      <c r="H19" s="1">
        <v>5.2999999999999999E-2</v>
      </c>
      <c r="I19">
        <v>190</v>
      </c>
      <c r="J19">
        <v>68743</v>
      </c>
      <c r="K19" s="10">
        <v>0.47899999999999998</v>
      </c>
      <c r="L19">
        <v>15</v>
      </c>
      <c r="M19">
        <v>94168</v>
      </c>
      <c r="O19">
        <v>196668</v>
      </c>
      <c r="P19">
        <v>178743</v>
      </c>
      <c r="Q19" s="1">
        <v>0.20399999999999999</v>
      </c>
      <c r="R19" s="1">
        <v>0.2</v>
      </c>
      <c r="S19" s="1">
        <v>0.39300000000000002</v>
      </c>
      <c r="T19" s="1">
        <v>0.32700000000000001</v>
      </c>
      <c r="U19">
        <v>13249</v>
      </c>
      <c r="V19" s="1">
        <v>0.09</v>
      </c>
      <c r="W19">
        <v>2376</v>
      </c>
      <c r="X19" s="1">
        <v>0.71700000000000008</v>
      </c>
      <c r="Y19" s="1">
        <f>(O19-P19)/O19</f>
        <v>9.1143449874916099E-2</v>
      </c>
      <c r="Z19" s="2">
        <f>P19/M19</f>
        <v>1.8981288760513126</v>
      </c>
    </row>
    <row r="20" spans="1:26" x14ac:dyDescent="0.45">
      <c r="A20" t="s">
        <v>351</v>
      </c>
      <c r="B20" t="s">
        <v>309</v>
      </c>
      <c r="C20" t="s">
        <v>352</v>
      </c>
      <c r="D20" t="s">
        <v>34</v>
      </c>
      <c r="E20" t="s">
        <v>30</v>
      </c>
      <c r="F20">
        <v>730</v>
      </c>
      <c r="G20">
        <v>199353</v>
      </c>
      <c r="H20" s="1">
        <v>5.2999999999999999E-2</v>
      </c>
      <c r="I20">
        <v>318</v>
      </c>
      <c r="J20">
        <v>68307</v>
      </c>
      <c r="K20" s="10">
        <v>0.47199999999999998</v>
      </c>
      <c r="L20">
        <v>15</v>
      </c>
      <c r="M20">
        <v>93571</v>
      </c>
      <c r="O20">
        <v>198111</v>
      </c>
      <c r="P20">
        <v>180055</v>
      </c>
      <c r="Q20" s="1">
        <v>0.20899999999999999</v>
      </c>
      <c r="R20" s="1">
        <v>0.2</v>
      </c>
      <c r="S20" s="1">
        <v>0.39800000000000002</v>
      </c>
      <c r="T20" s="1">
        <v>0.33200000000000002</v>
      </c>
      <c r="U20">
        <v>13271</v>
      </c>
      <c r="V20" s="1">
        <v>0.09</v>
      </c>
      <c r="W20">
        <v>2376</v>
      </c>
      <c r="X20" s="1">
        <v>0.71700000000000008</v>
      </c>
      <c r="Y20" s="1">
        <f>(O20-P20)/O20</f>
        <v>9.1140825093003419E-2</v>
      </c>
      <c r="Z20" s="2">
        <f>P20/M20</f>
        <v>1.9242607218048327</v>
      </c>
    </row>
    <row r="21" spans="1:26" x14ac:dyDescent="0.45">
      <c r="A21" t="s">
        <v>351</v>
      </c>
      <c r="B21" t="s">
        <v>309</v>
      </c>
      <c r="C21" t="s">
        <v>352</v>
      </c>
      <c r="D21" t="s">
        <v>34</v>
      </c>
      <c r="E21" t="s">
        <v>35</v>
      </c>
      <c r="F21">
        <v>730</v>
      </c>
      <c r="G21">
        <v>199353</v>
      </c>
      <c r="H21" s="1">
        <v>5.2999999999999999E-2</v>
      </c>
      <c r="I21">
        <v>192</v>
      </c>
      <c r="J21">
        <v>68878</v>
      </c>
      <c r="K21" s="10">
        <v>0.47399999999999998</v>
      </c>
      <c r="L21">
        <v>15</v>
      </c>
      <c r="M21">
        <v>94354</v>
      </c>
      <c r="O21">
        <v>199025</v>
      </c>
      <c r="P21">
        <v>180968</v>
      </c>
      <c r="Q21" s="1">
        <v>0.20599999999999999</v>
      </c>
      <c r="R21" s="1">
        <v>0.2</v>
      </c>
      <c r="S21" s="1">
        <v>0.39300000000000002</v>
      </c>
      <c r="T21" s="1">
        <v>0.32700000000000001</v>
      </c>
      <c r="U21">
        <v>12003</v>
      </c>
      <c r="V21" s="1">
        <v>8.1000000000000003E-2</v>
      </c>
      <c r="W21">
        <v>2376</v>
      </c>
      <c r="X21" s="1">
        <v>0.71700000000000008</v>
      </c>
      <c r="Y21" s="1">
        <f>(O21-P21)/O21</f>
        <v>9.0727295565883687E-2</v>
      </c>
      <c r="Z21" s="2">
        <f>P21/M21</f>
        <v>1.917968501600356</v>
      </c>
    </row>
    <row r="22" spans="1:26" x14ac:dyDescent="0.45">
      <c r="A22" t="s">
        <v>423</v>
      </c>
      <c r="B22" t="s">
        <v>309</v>
      </c>
      <c r="C22" t="s">
        <v>424</v>
      </c>
      <c r="D22" t="s">
        <v>34</v>
      </c>
      <c r="E22" t="s">
        <v>35</v>
      </c>
      <c r="F22">
        <v>730</v>
      </c>
      <c r="G22">
        <v>181889</v>
      </c>
      <c r="H22" s="1">
        <v>5.2999999999999999E-2</v>
      </c>
      <c r="I22">
        <v>315</v>
      </c>
      <c r="J22">
        <v>69846</v>
      </c>
      <c r="K22" s="10">
        <v>0.48699999999999999</v>
      </c>
      <c r="L22">
        <v>19</v>
      </c>
      <c r="M22">
        <v>95680</v>
      </c>
      <c r="O22">
        <v>196590</v>
      </c>
      <c r="P22">
        <v>174174</v>
      </c>
      <c r="Q22" s="1">
        <v>0.221</v>
      </c>
      <c r="R22" s="1">
        <v>0.22</v>
      </c>
      <c r="S22" s="1">
        <v>0.39600000000000002</v>
      </c>
      <c r="T22" s="1">
        <v>0.307</v>
      </c>
      <c r="U22">
        <v>17101</v>
      </c>
      <c r="V22" s="1">
        <v>0.11799999999999999</v>
      </c>
      <c r="W22">
        <v>2392</v>
      </c>
      <c r="X22" s="1">
        <v>0.97699999999999998</v>
      </c>
      <c r="Y22" s="1">
        <f>(O22-P22)/O22</f>
        <v>0.11402411109415535</v>
      </c>
      <c r="Z22" s="2">
        <f>P22/M22</f>
        <v>1.8203804347826087</v>
      </c>
    </row>
    <row r="23" spans="1:26" x14ac:dyDescent="0.45">
      <c r="A23" t="s">
        <v>236</v>
      </c>
      <c r="B23" t="s">
        <v>237</v>
      </c>
      <c r="C23" t="s">
        <v>238</v>
      </c>
      <c r="D23" t="s">
        <v>204</v>
      </c>
      <c r="E23" t="s">
        <v>30</v>
      </c>
      <c r="F23">
        <v>302</v>
      </c>
      <c r="G23">
        <v>273172</v>
      </c>
      <c r="H23" s="1">
        <v>0.08</v>
      </c>
      <c r="I23">
        <v>1824</v>
      </c>
      <c r="J23">
        <v>33980</v>
      </c>
      <c r="K23" s="10">
        <v>0.39900000000000002</v>
      </c>
      <c r="L23">
        <v>19</v>
      </c>
      <c r="M23">
        <v>112516</v>
      </c>
      <c r="O23">
        <v>282025</v>
      </c>
      <c r="P23">
        <v>264741</v>
      </c>
      <c r="Q23" s="1">
        <v>0.21099999999999999</v>
      </c>
      <c r="R23" s="1">
        <v>0.2</v>
      </c>
      <c r="S23" s="1">
        <v>0.41199999999999998</v>
      </c>
      <c r="T23" s="1">
        <v>0.36899999999999999</v>
      </c>
      <c r="U23">
        <v>11581</v>
      </c>
      <c r="V23" s="1">
        <v>0.14000000000000001</v>
      </c>
      <c r="W23">
        <v>5177</v>
      </c>
      <c r="X23" s="1">
        <v>0</v>
      </c>
      <c r="Y23" s="1">
        <f>(O23-P23)/O23</f>
        <v>6.1285347043701796E-2</v>
      </c>
      <c r="Z23" s="2">
        <f>P23/M23</f>
        <v>2.3529186960076789</v>
      </c>
    </row>
    <row r="24" spans="1:26" x14ac:dyDescent="0.45">
      <c r="A24" t="s">
        <v>236</v>
      </c>
      <c r="B24" t="s">
        <v>237</v>
      </c>
      <c r="C24" t="s">
        <v>238</v>
      </c>
      <c r="D24" t="s">
        <v>204</v>
      </c>
      <c r="E24" t="s">
        <v>35</v>
      </c>
      <c r="F24">
        <v>302</v>
      </c>
      <c r="G24">
        <v>273172</v>
      </c>
      <c r="H24" s="1">
        <v>8.3000000000000004E-2</v>
      </c>
      <c r="I24">
        <v>1824</v>
      </c>
      <c r="J24">
        <v>33980</v>
      </c>
      <c r="K24" s="10">
        <v>0.41399999999999998</v>
      </c>
      <c r="L24">
        <v>19</v>
      </c>
      <c r="M24">
        <v>112516</v>
      </c>
      <c r="O24">
        <v>271590</v>
      </c>
      <c r="P24">
        <v>254743</v>
      </c>
      <c r="Q24" s="1">
        <v>0.20200000000000001</v>
      </c>
      <c r="R24" s="1">
        <v>0.2</v>
      </c>
      <c r="S24" s="1">
        <v>0.39800000000000002</v>
      </c>
      <c r="T24" s="1">
        <v>0.35399999999999998</v>
      </c>
      <c r="U24">
        <v>11728</v>
      </c>
      <c r="V24" s="1">
        <v>0.14599999999999999</v>
      </c>
      <c r="W24">
        <v>5177</v>
      </c>
      <c r="X24" s="1">
        <v>0</v>
      </c>
      <c r="Y24" s="1">
        <f>(O24-P24)/O24</f>
        <v>6.2031002614234693E-2</v>
      </c>
      <c r="Z24" s="2">
        <f>P24/M24</f>
        <v>2.2640602225461266</v>
      </c>
    </row>
    <row r="25" spans="1:26" x14ac:dyDescent="0.45">
      <c r="A25" t="s">
        <v>377</v>
      </c>
      <c r="B25" t="s">
        <v>378</v>
      </c>
      <c r="C25" t="s">
        <v>379</v>
      </c>
      <c r="D25" t="s">
        <v>204</v>
      </c>
      <c r="E25" t="s">
        <v>30</v>
      </c>
      <c r="F25">
        <v>444</v>
      </c>
      <c r="G25">
        <v>209432</v>
      </c>
      <c r="H25" s="1">
        <v>6.0999999999999999E-2</v>
      </c>
      <c r="I25">
        <v>595</v>
      </c>
      <c r="J25">
        <v>44228</v>
      </c>
      <c r="K25" s="10">
        <v>0.45700000000000002</v>
      </c>
      <c r="L25">
        <v>19</v>
      </c>
      <c r="M25">
        <v>99613</v>
      </c>
      <c r="O25">
        <v>217978</v>
      </c>
      <c r="P25">
        <v>197100</v>
      </c>
      <c r="Q25" s="1">
        <v>0.19</v>
      </c>
      <c r="R25" s="1">
        <v>0.2</v>
      </c>
      <c r="S25" s="1">
        <v>0.39600000000000002</v>
      </c>
      <c r="T25" s="1">
        <v>0.32500000000000001</v>
      </c>
      <c r="U25">
        <v>16218</v>
      </c>
      <c r="V25" s="1">
        <v>0.16900000000000001</v>
      </c>
      <c r="W25">
        <v>2966</v>
      </c>
      <c r="X25" s="1">
        <v>0.49299999999999999</v>
      </c>
      <c r="Y25" s="1">
        <f>(O25-P25)/O25</f>
        <v>9.5780308104487608E-2</v>
      </c>
      <c r="Z25" s="2">
        <f>P25/M25</f>
        <v>1.9786574041540763</v>
      </c>
    </row>
    <row r="26" spans="1:26" x14ac:dyDescent="0.45">
      <c r="A26" t="s">
        <v>377</v>
      </c>
      <c r="B26" t="s">
        <v>378</v>
      </c>
      <c r="C26" t="s">
        <v>379</v>
      </c>
      <c r="D26" t="s">
        <v>204</v>
      </c>
      <c r="E26" t="s">
        <v>35</v>
      </c>
      <c r="F26">
        <v>444</v>
      </c>
      <c r="G26">
        <v>209432</v>
      </c>
      <c r="H26" s="1">
        <v>5.8000000000000003E-2</v>
      </c>
      <c r="I26">
        <v>595</v>
      </c>
      <c r="J26">
        <v>44228</v>
      </c>
      <c r="K26" s="10">
        <v>0.435</v>
      </c>
      <c r="L26">
        <v>19</v>
      </c>
      <c r="M26">
        <v>99613</v>
      </c>
      <c r="O26">
        <v>229230</v>
      </c>
      <c r="P26">
        <v>215951</v>
      </c>
      <c r="Q26" s="1">
        <v>0.22900000000000001</v>
      </c>
      <c r="R26" s="1">
        <v>0.2</v>
      </c>
      <c r="S26" s="1">
        <v>0.41599999999999998</v>
      </c>
      <c r="T26" s="1">
        <v>0.375</v>
      </c>
      <c r="U26">
        <v>12347</v>
      </c>
      <c r="V26" s="1">
        <v>0.122</v>
      </c>
      <c r="W26">
        <v>2966</v>
      </c>
      <c r="X26" s="1">
        <v>0.49299999999999999</v>
      </c>
      <c r="Y26" s="1">
        <f>(O26-P26)/O26</f>
        <v>5.7928717881603628E-2</v>
      </c>
      <c r="Z26" s="2">
        <f>P26/M26</f>
        <v>2.1678997721180973</v>
      </c>
    </row>
    <row r="27" spans="1:26" x14ac:dyDescent="0.45">
      <c r="A27" t="s">
        <v>67</v>
      </c>
      <c r="B27" t="s">
        <v>68</v>
      </c>
      <c r="C27" t="s">
        <v>69</v>
      </c>
      <c r="D27" t="s">
        <v>29</v>
      </c>
      <c r="E27" t="s">
        <v>30</v>
      </c>
      <c r="F27">
        <v>571</v>
      </c>
      <c r="G27">
        <v>241821</v>
      </c>
      <c r="H27" s="4">
        <v>0.158</v>
      </c>
      <c r="I27">
        <v>3306</v>
      </c>
      <c r="J27">
        <v>57205</v>
      </c>
      <c r="K27" s="10">
        <v>0.41599999999999998</v>
      </c>
      <c r="L27">
        <v>20</v>
      </c>
      <c r="M27">
        <v>99940</v>
      </c>
      <c r="O27">
        <v>240696</v>
      </c>
      <c r="P27">
        <v>221835</v>
      </c>
      <c r="Q27" s="1">
        <v>0.20100000000000001</v>
      </c>
      <c r="R27" s="1">
        <v>0.2</v>
      </c>
      <c r="S27" s="1">
        <v>0.34799999999999998</v>
      </c>
      <c r="T27" s="1">
        <v>0.29599999999999999</v>
      </c>
      <c r="U27">
        <v>9041</v>
      </c>
      <c r="V27" s="1">
        <v>6.0999999999999999E-2</v>
      </c>
      <c r="W27">
        <v>3605</v>
      </c>
      <c r="X27" s="1">
        <v>0.26400000000000001</v>
      </c>
      <c r="Y27" s="1">
        <f>(O27-P27)/O27</f>
        <v>7.8360255259746728E-2</v>
      </c>
      <c r="Z27" s="2">
        <f>P27/M27</f>
        <v>2.2196818090854511</v>
      </c>
    </row>
    <row r="28" spans="1:26" x14ac:dyDescent="0.45">
      <c r="A28" t="s">
        <v>104</v>
      </c>
      <c r="B28" t="s">
        <v>105</v>
      </c>
      <c r="C28" t="s">
        <v>106</v>
      </c>
      <c r="D28" t="s">
        <v>107</v>
      </c>
      <c r="E28" t="s">
        <v>30</v>
      </c>
      <c r="F28">
        <v>414</v>
      </c>
      <c r="G28">
        <v>211860</v>
      </c>
      <c r="H28" s="1">
        <v>5.8000000000000003E-2</v>
      </c>
      <c r="I28">
        <v>487</v>
      </c>
      <c r="J28">
        <v>36856</v>
      </c>
      <c r="K28" s="10">
        <v>0.42899999999999999</v>
      </c>
      <c r="L28">
        <v>12</v>
      </c>
      <c r="M28">
        <v>89023</v>
      </c>
      <c r="O28">
        <v>207517</v>
      </c>
      <c r="P28">
        <v>185311</v>
      </c>
      <c r="Q28" s="1">
        <v>0.20399999999999999</v>
      </c>
      <c r="R28" s="1">
        <v>0.2</v>
      </c>
      <c r="S28" s="1">
        <v>0.38800000000000001</v>
      </c>
      <c r="T28" s="1">
        <v>0.308</v>
      </c>
      <c r="U28">
        <v>14652</v>
      </c>
      <c r="V28" s="1">
        <v>0.17</v>
      </c>
      <c r="W28">
        <v>3265</v>
      </c>
      <c r="X28" s="1">
        <v>0.47199999999999998</v>
      </c>
      <c r="Y28" s="1">
        <f>(O28-P28)/O28</f>
        <v>0.10700810054116049</v>
      </c>
      <c r="Z28" s="2">
        <f>P28/M28</f>
        <v>2.0816081237433024</v>
      </c>
    </row>
    <row r="29" spans="1:26" x14ac:dyDescent="0.45">
      <c r="A29" t="s">
        <v>104</v>
      </c>
      <c r="B29" t="s">
        <v>105</v>
      </c>
      <c r="C29" t="s">
        <v>106</v>
      </c>
      <c r="D29" t="s">
        <v>107</v>
      </c>
      <c r="E29" t="s">
        <v>30</v>
      </c>
      <c r="F29">
        <v>414</v>
      </c>
      <c r="G29">
        <v>211860</v>
      </c>
      <c r="H29" s="1">
        <v>5.8000000000000003E-2</v>
      </c>
      <c r="I29">
        <v>487</v>
      </c>
      <c r="J29">
        <v>36856</v>
      </c>
      <c r="K29" s="10">
        <v>0.42899999999999999</v>
      </c>
      <c r="L29">
        <v>12</v>
      </c>
      <c r="M29">
        <v>89023</v>
      </c>
      <c r="O29">
        <v>207517</v>
      </c>
      <c r="P29">
        <v>185311</v>
      </c>
      <c r="Q29" s="1">
        <v>0.20399999999999999</v>
      </c>
      <c r="R29" s="1">
        <v>0.2</v>
      </c>
      <c r="S29" s="1">
        <v>0.38800000000000001</v>
      </c>
      <c r="T29" s="1">
        <v>0.308</v>
      </c>
      <c r="U29">
        <v>14652</v>
      </c>
      <c r="V29" s="1">
        <v>0.17</v>
      </c>
      <c r="W29">
        <v>3265</v>
      </c>
      <c r="X29" s="1">
        <v>0.47199999999999998</v>
      </c>
      <c r="Y29" s="1">
        <f>(O29-P29)/O29</f>
        <v>0.10700810054116049</v>
      </c>
      <c r="Z29" s="2">
        <f>P29/M29</f>
        <v>2.0816081237433024</v>
      </c>
    </row>
    <row r="30" spans="1:26" x14ac:dyDescent="0.45">
      <c r="A30" t="s">
        <v>128</v>
      </c>
      <c r="B30" t="s">
        <v>105</v>
      </c>
      <c r="C30" t="s">
        <v>129</v>
      </c>
      <c r="D30" t="s">
        <v>130</v>
      </c>
      <c r="E30" t="s">
        <v>30</v>
      </c>
      <c r="F30">
        <v>414</v>
      </c>
      <c r="G30">
        <v>211860</v>
      </c>
      <c r="H30" s="1">
        <v>5.7000000000000002E-2</v>
      </c>
      <c r="I30">
        <v>487</v>
      </c>
      <c r="J30">
        <v>36788</v>
      </c>
      <c r="K30" s="10">
        <v>0.42299999999999999</v>
      </c>
      <c r="L30">
        <v>12</v>
      </c>
      <c r="M30">
        <v>88860</v>
      </c>
      <c r="O30">
        <v>210092</v>
      </c>
      <c r="P30">
        <v>187886</v>
      </c>
      <c r="Q30" s="1">
        <v>0.20100000000000001</v>
      </c>
      <c r="R30" s="1">
        <v>0.2</v>
      </c>
      <c r="S30" s="1">
        <v>0.38700000000000001</v>
      </c>
      <c r="T30" s="1">
        <v>0.308</v>
      </c>
      <c r="U30">
        <v>15243</v>
      </c>
      <c r="V30" s="1">
        <v>0.17499999999999999</v>
      </c>
      <c r="W30">
        <v>3270</v>
      </c>
      <c r="X30" s="1">
        <v>0.47199999999999998</v>
      </c>
      <c r="Y30" s="1">
        <f>(O30-P30)/O30</f>
        <v>0.10569655198674867</v>
      </c>
      <c r="Z30" s="2">
        <f>P30/M30</f>
        <v>2.1144046815214943</v>
      </c>
    </row>
    <row r="31" spans="1:26" x14ac:dyDescent="0.45">
      <c r="A31" t="s">
        <v>128</v>
      </c>
      <c r="B31" t="s">
        <v>105</v>
      </c>
      <c r="C31" t="s">
        <v>129</v>
      </c>
      <c r="D31" t="s">
        <v>130</v>
      </c>
      <c r="E31" t="s">
        <v>35</v>
      </c>
      <c r="F31">
        <v>414</v>
      </c>
      <c r="G31">
        <v>211860</v>
      </c>
      <c r="H31" s="1">
        <v>5.7000000000000002E-2</v>
      </c>
      <c r="I31">
        <v>487</v>
      </c>
      <c r="J31">
        <v>36788</v>
      </c>
      <c r="K31" s="10">
        <v>0.42</v>
      </c>
      <c r="L31">
        <v>12</v>
      </c>
      <c r="M31">
        <v>88860</v>
      </c>
      <c r="O31">
        <v>211737</v>
      </c>
      <c r="P31">
        <v>189531</v>
      </c>
      <c r="Q31" s="1">
        <v>0.20200000000000001</v>
      </c>
      <c r="R31" s="1">
        <v>0.2</v>
      </c>
      <c r="S31" s="1">
        <v>0.38800000000000001</v>
      </c>
      <c r="T31" s="1">
        <v>0.309</v>
      </c>
      <c r="U31">
        <v>13526</v>
      </c>
      <c r="V31" s="1">
        <v>0.154</v>
      </c>
      <c r="W31">
        <v>3270</v>
      </c>
      <c r="X31" s="1">
        <v>0.47199999999999998</v>
      </c>
      <c r="Y31" s="1">
        <f>(O31-P31)/O31</f>
        <v>0.10487538786324545</v>
      </c>
      <c r="Z31" s="2">
        <f>P31/M31</f>
        <v>2.1329169480081025</v>
      </c>
    </row>
    <row r="32" spans="1:26" x14ac:dyDescent="0.45">
      <c r="A32" t="s">
        <v>432</v>
      </c>
      <c r="B32" t="s">
        <v>433</v>
      </c>
      <c r="C32" t="s">
        <v>434</v>
      </c>
      <c r="D32" t="s">
        <v>204</v>
      </c>
      <c r="E32" t="s">
        <v>30</v>
      </c>
      <c r="F32">
        <v>444</v>
      </c>
      <c r="G32">
        <v>259858</v>
      </c>
      <c r="H32" s="1">
        <v>0.09</v>
      </c>
      <c r="I32">
        <v>1028</v>
      </c>
      <c r="J32">
        <v>48269</v>
      </c>
      <c r="K32" s="10">
        <v>0.46899999999999997</v>
      </c>
      <c r="L32">
        <v>18</v>
      </c>
      <c r="M32">
        <v>108715</v>
      </c>
      <c r="O32">
        <v>232001</v>
      </c>
      <c r="P32">
        <v>209727</v>
      </c>
      <c r="Q32" s="1">
        <v>0.191</v>
      </c>
      <c r="R32" s="1">
        <v>0.22</v>
      </c>
      <c r="S32" s="1">
        <v>0.36799999999999999</v>
      </c>
      <c r="T32" s="1">
        <v>0.28999999999999998</v>
      </c>
      <c r="U32">
        <v>11633</v>
      </c>
      <c r="V32" s="1">
        <v>0.113</v>
      </c>
      <c r="W32">
        <v>2636</v>
      </c>
      <c r="X32" s="1">
        <v>0.23499999999999999</v>
      </c>
      <c r="Y32" s="1">
        <f>(O32-P32)/O32</f>
        <v>9.6008206861177323E-2</v>
      </c>
      <c r="Z32" s="2">
        <f>P32/M32</f>
        <v>1.9291450121878306</v>
      </c>
    </row>
    <row r="33" spans="1:26" x14ac:dyDescent="0.45">
      <c r="A33" t="s">
        <v>432</v>
      </c>
      <c r="B33" t="s">
        <v>433</v>
      </c>
      <c r="C33" t="s">
        <v>434</v>
      </c>
      <c r="D33" t="s">
        <v>204</v>
      </c>
      <c r="E33" t="s">
        <v>35</v>
      </c>
      <c r="F33">
        <v>444</v>
      </c>
      <c r="G33">
        <v>259858</v>
      </c>
      <c r="H33" s="1">
        <v>8.900000000000001E-2</v>
      </c>
      <c r="I33">
        <v>1040</v>
      </c>
      <c r="J33">
        <v>48269</v>
      </c>
      <c r="K33" s="10">
        <v>0.44900000000000001</v>
      </c>
      <c r="L33">
        <v>18</v>
      </c>
      <c r="M33">
        <v>108715</v>
      </c>
      <c r="O33">
        <v>242224</v>
      </c>
      <c r="P33">
        <v>220991</v>
      </c>
      <c r="Q33" s="1">
        <v>0.23599999999999999</v>
      </c>
      <c r="R33" s="1">
        <v>0.22</v>
      </c>
      <c r="S33" s="1">
        <v>0.39</v>
      </c>
      <c r="T33" s="1">
        <v>0.32100000000000001</v>
      </c>
      <c r="U33">
        <v>5362</v>
      </c>
      <c r="V33" s="1">
        <v>4.9000000000000002E-2</v>
      </c>
      <c r="W33">
        <v>2624</v>
      </c>
      <c r="X33" s="1">
        <v>0.61499999999999999</v>
      </c>
      <c r="Y33" s="1">
        <f>(O33-P33)/O33</f>
        <v>8.7658530946561855E-2</v>
      </c>
      <c r="Z33" s="2">
        <f>P33/M33</f>
        <v>2.0327553695442213</v>
      </c>
    </row>
    <row r="34" spans="1:26" x14ac:dyDescent="0.45">
      <c r="A34" t="s">
        <v>432</v>
      </c>
      <c r="B34" t="s">
        <v>433</v>
      </c>
      <c r="C34" t="s">
        <v>434</v>
      </c>
      <c r="D34" t="s">
        <v>204</v>
      </c>
      <c r="E34" t="s">
        <v>30</v>
      </c>
      <c r="F34">
        <v>444</v>
      </c>
      <c r="G34">
        <v>259858</v>
      </c>
      <c r="H34">
        <v>8.900000000000001E-2</v>
      </c>
      <c r="I34">
        <v>1040</v>
      </c>
      <c r="J34">
        <v>48269</v>
      </c>
      <c r="K34" s="10">
        <v>0.46899999999999997</v>
      </c>
      <c r="L34">
        <v>18</v>
      </c>
      <c r="M34">
        <v>108715</v>
      </c>
      <c r="O34">
        <v>232001</v>
      </c>
      <c r="P34">
        <v>209727</v>
      </c>
      <c r="Q34">
        <v>0.191</v>
      </c>
      <c r="R34">
        <v>0.22</v>
      </c>
      <c r="S34">
        <v>0.36799999999999999</v>
      </c>
      <c r="T34">
        <v>0.28999999999999998</v>
      </c>
      <c r="U34">
        <v>11633</v>
      </c>
      <c r="V34">
        <v>0.113</v>
      </c>
      <c r="W34">
        <v>2636</v>
      </c>
      <c r="X34">
        <v>0.23499999999999999</v>
      </c>
      <c r="Y34" s="1">
        <f>(O34-P34)/O34</f>
        <v>9.6008206861177323E-2</v>
      </c>
      <c r="Z34" s="2">
        <f>P34/M34</f>
        <v>1.9291450121878306</v>
      </c>
    </row>
    <row r="35" spans="1:26" x14ac:dyDescent="0.45">
      <c r="A35" t="s">
        <v>115</v>
      </c>
      <c r="B35" t="s">
        <v>116</v>
      </c>
      <c r="C35" t="s">
        <v>117</v>
      </c>
      <c r="D35" t="s">
        <v>29</v>
      </c>
      <c r="E35" t="s">
        <v>30</v>
      </c>
      <c r="F35">
        <v>1238</v>
      </c>
      <c r="G35">
        <v>226149</v>
      </c>
      <c r="H35" s="1">
        <v>0.05</v>
      </c>
      <c r="I35">
        <v>563</v>
      </c>
      <c r="J35">
        <v>101294</v>
      </c>
      <c r="K35" s="10">
        <v>0.47</v>
      </c>
      <c r="L35">
        <v>19</v>
      </c>
      <c r="M35" s="12">
        <v>101294.87</v>
      </c>
      <c r="O35">
        <v>217000</v>
      </c>
      <c r="P35">
        <v>193000</v>
      </c>
      <c r="Q35" s="1">
        <v>0.2</v>
      </c>
      <c r="R35" s="1">
        <v>0.2</v>
      </c>
      <c r="S35" s="1">
        <v>0.41</v>
      </c>
      <c r="T35" s="1">
        <v>0.33</v>
      </c>
      <c r="U35">
        <v>20359</v>
      </c>
      <c r="V35" s="3">
        <v>7.0000000000000007E-2</v>
      </c>
      <c r="W35">
        <v>3256</v>
      </c>
      <c r="X35" s="1">
        <v>0.315</v>
      </c>
      <c r="Y35" s="1">
        <f>(O35-P35)/O35</f>
        <v>0.11059907834101383</v>
      </c>
      <c r="Z35" s="2">
        <f>P35/M35</f>
        <v>1.9053284731990872</v>
      </c>
    </row>
    <row r="36" spans="1:26" x14ac:dyDescent="0.45">
      <c r="A36" t="s">
        <v>99</v>
      </c>
      <c r="B36" t="s">
        <v>100</v>
      </c>
      <c r="C36" t="s">
        <v>101</v>
      </c>
      <c r="D36" t="s">
        <v>29</v>
      </c>
      <c r="E36" t="s">
        <v>30</v>
      </c>
      <c r="F36">
        <v>572</v>
      </c>
      <c r="G36">
        <v>241023</v>
      </c>
      <c r="H36" s="1">
        <v>5.5999999999999987E-2</v>
      </c>
      <c r="I36">
        <v>549</v>
      </c>
      <c r="J36">
        <v>53092</v>
      </c>
      <c r="K36" s="10">
        <v>0.42299999999999999</v>
      </c>
      <c r="L36">
        <v>19</v>
      </c>
      <c r="M36">
        <v>92818</v>
      </c>
      <c r="O36">
        <v>219526</v>
      </c>
      <c r="P36">
        <v>201778</v>
      </c>
      <c r="Q36" s="5">
        <v>0.27200000000000002</v>
      </c>
      <c r="R36" s="1">
        <v>0.2</v>
      </c>
      <c r="S36" s="1">
        <v>0.43099999999999999</v>
      </c>
      <c r="T36" s="1">
        <v>0.376</v>
      </c>
      <c r="U36">
        <v>13392</v>
      </c>
      <c r="V36" s="1">
        <v>0.10100000000000001</v>
      </c>
      <c r="W36">
        <v>3179</v>
      </c>
      <c r="X36" s="1">
        <v>0.38100000000000001</v>
      </c>
      <c r="Y36" s="1">
        <f>(O36-P36)/O36</f>
        <v>8.0846915627306101E-2</v>
      </c>
      <c r="Z36" s="2">
        <f>P36/M36</f>
        <v>2.1739102329289577</v>
      </c>
    </row>
    <row r="37" spans="1:26" x14ac:dyDescent="0.45">
      <c r="A37" t="s">
        <v>251</v>
      </c>
      <c r="B37" t="s">
        <v>252</v>
      </c>
      <c r="C37" t="s">
        <v>253</v>
      </c>
      <c r="D37" t="s">
        <v>168</v>
      </c>
      <c r="E37" t="s">
        <v>30</v>
      </c>
      <c r="F37">
        <v>1092</v>
      </c>
      <c r="G37">
        <v>254177</v>
      </c>
      <c r="H37" s="1">
        <v>7.2999999999999995E-2</v>
      </c>
      <c r="I37">
        <v>1319</v>
      </c>
      <c r="J37">
        <v>119357</v>
      </c>
      <c r="K37" s="10">
        <v>0.44299999999999989</v>
      </c>
      <c r="L37">
        <v>22</v>
      </c>
      <c r="M37">
        <v>109301</v>
      </c>
      <c r="O37">
        <v>246884</v>
      </c>
      <c r="P37">
        <v>225723</v>
      </c>
      <c r="Q37" s="1">
        <v>0.20499999999999999</v>
      </c>
      <c r="R37" s="1">
        <v>0.2</v>
      </c>
      <c r="S37" s="1">
        <v>0.39300000000000002</v>
      </c>
      <c r="T37" s="1">
        <v>0.32900000000000001</v>
      </c>
      <c r="U37">
        <v>24717</v>
      </c>
      <c r="V37" s="1">
        <v>8.199999999999999E-2</v>
      </c>
      <c r="W37">
        <v>3717</v>
      </c>
      <c r="X37" s="1">
        <v>0.222</v>
      </c>
      <c r="Y37" s="1">
        <f>(O37-P37)/O37</f>
        <v>8.5712318335736615E-2</v>
      </c>
      <c r="Z37" s="2">
        <f>P37/M37</f>
        <v>2.0651503645895279</v>
      </c>
    </row>
    <row r="38" spans="1:26" x14ac:dyDescent="0.45">
      <c r="A38" t="s">
        <v>365</v>
      </c>
      <c r="B38" t="s">
        <v>252</v>
      </c>
      <c r="C38" t="s">
        <v>366</v>
      </c>
      <c r="D38" t="s">
        <v>163</v>
      </c>
      <c r="E38" t="s">
        <v>30</v>
      </c>
      <c r="F38">
        <v>1092</v>
      </c>
      <c r="G38">
        <v>254759</v>
      </c>
      <c r="H38" s="1">
        <v>7.2999999999999995E-2</v>
      </c>
      <c r="I38">
        <v>1063</v>
      </c>
      <c r="J38">
        <v>119090</v>
      </c>
      <c r="K38" s="10">
        <v>0.44299999999999989</v>
      </c>
      <c r="L38">
        <v>22</v>
      </c>
      <c r="M38">
        <v>109057</v>
      </c>
      <c r="O38">
        <v>246303</v>
      </c>
      <c r="P38">
        <v>226264</v>
      </c>
      <c r="Q38" s="1">
        <v>0.2</v>
      </c>
      <c r="R38" s="1">
        <v>0.2</v>
      </c>
      <c r="S38" s="1">
        <v>0.38600000000000001</v>
      </c>
      <c r="T38" s="1">
        <v>0.32500000000000001</v>
      </c>
      <c r="U38">
        <v>25678</v>
      </c>
      <c r="V38" s="1">
        <v>8.8000000000000009E-2</v>
      </c>
      <c r="W38">
        <v>3811</v>
      </c>
      <c r="X38" s="1">
        <v>0.27700000000000002</v>
      </c>
      <c r="Y38" s="1">
        <f>(O38-P38)/O38</f>
        <v>8.1359138946744458E-2</v>
      </c>
      <c r="Z38" s="2">
        <f>P38/M38</f>
        <v>2.0747315623939775</v>
      </c>
    </row>
    <row r="39" spans="1:26" x14ac:dyDescent="0.45">
      <c r="A39" t="s">
        <v>270</v>
      </c>
      <c r="B39" t="s">
        <v>271</v>
      </c>
      <c r="C39" t="s">
        <v>272</v>
      </c>
      <c r="D39" t="s">
        <v>29</v>
      </c>
      <c r="E39" t="s">
        <v>30</v>
      </c>
      <c r="F39">
        <v>1455</v>
      </c>
      <c r="G39">
        <v>209696</v>
      </c>
      <c r="H39" s="1">
        <v>0.104</v>
      </c>
      <c r="I39">
        <v>767</v>
      </c>
      <c r="J39" s="7">
        <v>123180</v>
      </c>
      <c r="K39" s="10">
        <v>0.38200000000000001</v>
      </c>
      <c r="L39">
        <v>14</v>
      </c>
      <c r="M39">
        <v>84660</v>
      </c>
      <c r="O39">
        <v>221850</v>
      </c>
      <c r="P39">
        <v>194087</v>
      </c>
      <c r="Q39" s="9">
        <v>0.26100000000000001</v>
      </c>
      <c r="R39" s="3">
        <v>0.2</v>
      </c>
      <c r="S39" s="1">
        <v>0.44500000000000001</v>
      </c>
      <c r="T39" s="1">
        <v>0.35799999999999998</v>
      </c>
      <c r="U39">
        <v>14187</v>
      </c>
      <c r="V39" s="1">
        <v>3.9E-2</v>
      </c>
      <c r="W39">
        <v>2940</v>
      </c>
      <c r="X39" s="1">
        <v>0.43200000000000011</v>
      </c>
      <c r="Y39" s="1">
        <f>(O39-P39)/O39</f>
        <v>0.12514311471715123</v>
      </c>
      <c r="Z39" s="2">
        <f>P39/M39</f>
        <v>2.2925466572171036</v>
      </c>
    </row>
    <row r="40" spans="1:26" x14ac:dyDescent="0.45">
      <c r="A40" t="s">
        <v>408</v>
      </c>
      <c r="B40" t="s">
        <v>409</v>
      </c>
      <c r="C40" t="s">
        <v>410</v>
      </c>
      <c r="D40" t="s">
        <v>29</v>
      </c>
      <c r="E40" t="s">
        <v>30</v>
      </c>
      <c r="F40">
        <v>1518</v>
      </c>
      <c r="G40">
        <v>228992</v>
      </c>
      <c r="H40" s="1">
        <v>6.4000000000000001E-2</v>
      </c>
      <c r="I40">
        <v>1104</v>
      </c>
      <c r="J40" s="7">
        <v>151727</v>
      </c>
      <c r="K40" s="10">
        <v>0.45100000000000001</v>
      </c>
      <c r="L40">
        <v>19</v>
      </c>
      <c r="M40">
        <v>99952</v>
      </c>
      <c r="O40">
        <v>221461</v>
      </c>
      <c r="P40">
        <v>202928</v>
      </c>
      <c r="Q40" s="1">
        <v>0.20399999999999999</v>
      </c>
      <c r="R40" s="1">
        <v>0.2</v>
      </c>
      <c r="S40" s="1">
        <v>0.40300000000000002</v>
      </c>
      <c r="T40" s="1">
        <v>0.34200000000000003</v>
      </c>
      <c r="U40">
        <v>19027</v>
      </c>
      <c r="V40" s="1">
        <v>4.9000000000000002E-2</v>
      </c>
      <c r="W40">
        <v>3056</v>
      </c>
      <c r="X40" s="1">
        <v>0.33800000000000002</v>
      </c>
      <c r="Y40" s="1">
        <f>(O40-P40)/O40</f>
        <v>8.3685163527664017E-2</v>
      </c>
      <c r="Z40" s="2">
        <f>P40/M40</f>
        <v>2.0302545221706421</v>
      </c>
    </row>
    <row r="41" spans="1:26" x14ac:dyDescent="0.45">
      <c r="A41" t="s">
        <v>408</v>
      </c>
      <c r="B41" t="s">
        <v>409</v>
      </c>
      <c r="C41" t="s">
        <v>410</v>
      </c>
      <c r="D41" t="s">
        <v>29</v>
      </c>
      <c r="E41" t="s">
        <v>30</v>
      </c>
      <c r="F41">
        <v>1518</v>
      </c>
      <c r="G41">
        <v>228992</v>
      </c>
      <c r="H41" s="1">
        <v>6.4000000000000001E-2</v>
      </c>
      <c r="I41">
        <v>1104</v>
      </c>
      <c r="J41" s="7">
        <v>151727</v>
      </c>
      <c r="K41" s="10">
        <v>0.45100000000000001</v>
      </c>
      <c r="L41">
        <v>19</v>
      </c>
      <c r="M41">
        <v>99952</v>
      </c>
      <c r="O41">
        <v>221461</v>
      </c>
      <c r="P41">
        <v>202928</v>
      </c>
      <c r="Q41" s="1">
        <v>0.20399999999999999</v>
      </c>
      <c r="R41" s="1">
        <v>0.2</v>
      </c>
      <c r="S41" s="1">
        <v>0.40300000000000002</v>
      </c>
      <c r="T41" s="1">
        <v>0.34200000000000003</v>
      </c>
      <c r="U41">
        <v>19027</v>
      </c>
      <c r="V41" s="1">
        <v>4.9000000000000002E-2</v>
      </c>
      <c r="W41">
        <v>3056</v>
      </c>
      <c r="X41" s="1">
        <v>0.33800000000000002</v>
      </c>
      <c r="Y41" s="1">
        <f>(O41-P41)/O41</f>
        <v>8.3685163527664017E-2</v>
      </c>
      <c r="Z41" s="2">
        <f>P41/M41</f>
        <v>2.0302545221706421</v>
      </c>
    </row>
    <row r="42" spans="1:26" x14ac:dyDescent="0.45">
      <c r="A42" t="s">
        <v>137</v>
      </c>
      <c r="B42" t="s">
        <v>138</v>
      </c>
      <c r="C42" t="s">
        <v>139</v>
      </c>
      <c r="D42" t="s">
        <v>29</v>
      </c>
      <c r="E42" t="s">
        <v>30</v>
      </c>
      <c r="F42">
        <v>585</v>
      </c>
      <c r="G42">
        <v>240720</v>
      </c>
      <c r="H42" s="1">
        <v>6.8000000000000005E-2</v>
      </c>
      <c r="I42">
        <v>629</v>
      </c>
      <c r="J42">
        <v>62152</v>
      </c>
      <c r="K42" s="10">
        <v>0.45900000000000002</v>
      </c>
      <c r="L42">
        <v>19</v>
      </c>
      <c r="M42">
        <v>106243</v>
      </c>
      <c r="O42">
        <v>231351</v>
      </c>
      <c r="P42">
        <v>207587</v>
      </c>
      <c r="Q42" s="1">
        <v>0.20100000000000001</v>
      </c>
      <c r="R42" s="1">
        <v>0.2</v>
      </c>
      <c r="S42" s="1">
        <v>0.38</v>
      </c>
      <c r="T42" s="1">
        <v>0.30599999999999999</v>
      </c>
      <c r="U42">
        <v>16666</v>
      </c>
      <c r="V42" s="1">
        <v>0.11</v>
      </c>
      <c r="W42">
        <v>3238</v>
      </c>
      <c r="X42" s="1">
        <v>0.34</v>
      </c>
      <c r="Y42" s="1">
        <f>(O42-P42)/O42</f>
        <v>0.10271838029660559</v>
      </c>
      <c r="Z42" s="2">
        <f>P42/M42</f>
        <v>1.953888726786706</v>
      </c>
    </row>
    <row r="43" spans="1:26" x14ac:dyDescent="0.45">
      <c r="A43" t="s">
        <v>140</v>
      </c>
      <c r="B43" t="s">
        <v>141</v>
      </c>
      <c r="C43" t="s">
        <v>139</v>
      </c>
      <c r="D43" t="s">
        <v>136</v>
      </c>
      <c r="E43" t="s">
        <v>30</v>
      </c>
      <c r="F43">
        <v>499</v>
      </c>
      <c r="G43">
        <v>225030</v>
      </c>
      <c r="H43" s="1">
        <v>3.7000000000000012E-2</v>
      </c>
      <c r="I43">
        <v>422</v>
      </c>
      <c r="J43">
        <v>51052</v>
      </c>
      <c r="K43" s="10">
        <v>0.45400000000000001</v>
      </c>
      <c r="L43">
        <v>20</v>
      </c>
      <c r="M43">
        <v>102308</v>
      </c>
      <c r="O43">
        <v>225244</v>
      </c>
      <c r="P43">
        <v>203723</v>
      </c>
      <c r="Q43" s="1">
        <v>0.221</v>
      </c>
      <c r="R43" s="1">
        <v>0.2</v>
      </c>
      <c r="S43" s="1">
        <v>0.40899999999999997</v>
      </c>
      <c r="T43" s="1">
        <v>0.33800000000000002</v>
      </c>
      <c r="U43">
        <v>13826</v>
      </c>
      <c r="V43" s="1">
        <v>0.113</v>
      </c>
      <c r="W43">
        <v>3200</v>
      </c>
      <c r="X43" s="1">
        <v>0.375</v>
      </c>
      <c r="Y43" s="1">
        <f>(O43-P43)/O43</f>
        <v>9.5545275345847169E-2</v>
      </c>
      <c r="Z43" s="2">
        <f>P43/M43</f>
        <v>1.9912714548226922</v>
      </c>
    </row>
    <row r="44" spans="1:26" x14ac:dyDescent="0.45">
      <c r="A44" t="s">
        <v>367</v>
      </c>
      <c r="B44" t="s">
        <v>141</v>
      </c>
      <c r="C44" t="s">
        <v>366</v>
      </c>
      <c r="D44" t="s">
        <v>368</v>
      </c>
      <c r="E44" t="s">
        <v>30</v>
      </c>
      <c r="F44">
        <v>1140</v>
      </c>
      <c r="G44">
        <v>249113</v>
      </c>
      <c r="H44" s="1">
        <v>1.6E-2</v>
      </c>
      <c r="I44">
        <v>360</v>
      </c>
      <c r="J44">
        <v>119109</v>
      </c>
      <c r="K44" s="10">
        <v>0.46600000000000003</v>
      </c>
      <c r="L44">
        <v>23</v>
      </c>
      <c r="M44">
        <v>104482</v>
      </c>
      <c r="O44">
        <v>224338</v>
      </c>
      <c r="P44">
        <v>205299</v>
      </c>
      <c r="Q44" s="1">
        <v>0.23699999999999999</v>
      </c>
      <c r="R44" s="1">
        <v>0.2</v>
      </c>
      <c r="S44" s="1">
        <v>0.42099999999999999</v>
      </c>
      <c r="T44" s="1">
        <v>0.36</v>
      </c>
      <c r="U44">
        <v>19604</v>
      </c>
      <c r="V44" s="1">
        <v>7.0000000000000007E-2</v>
      </c>
      <c r="W44">
        <v>2924</v>
      </c>
      <c r="X44" s="1">
        <v>0.441</v>
      </c>
      <c r="Y44" s="1">
        <f>(O44-P44)/O44</f>
        <v>8.4867476753826818E-2</v>
      </c>
      <c r="Z44" s="2">
        <f>P44/M44</f>
        <v>1.964922187553837</v>
      </c>
    </row>
    <row r="45" spans="1:26" x14ac:dyDescent="0.45">
      <c r="A45" t="s">
        <v>242</v>
      </c>
      <c r="B45" t="s">
        <v>243</v>
      </c>
      <c r="C45" t="s">
        <v>244</v>
      </c>
      <c r="D45" t="s">
        <v>34</v>
      </c>
      <c r="E45" t="s">
        <v>30</v>
      </c>
      <c r="F45">
        <v>667</v>
      </c>
      <c r="G45">
        <v>275172</v>
      </c>
      <c r="H45" s="1">
        <v>4.2999999999999997E-2</v>
      </c>
      <c r="I45">
        <v>1351</v>
      </c>
      <c r="J45">
        <v>73900</v>
      </c>
      <c r="K45" s="10">
        <v>0.45500000000000002</v>
      </c>
      <c r="L45" s="7">
        <v>28</v>
      </c>
      <c r="M45">
        <v>110794</v>
      </c>
      <c r="O45">
        <v>243431</v>
      </c>
      <c r="P45">
        <v>227596</v>
      </c>
      <c r="Q45" s="8">
        <v>5.2999999999999999E-2</v>
      </c>
      <c r="R45" s="1">
        <v>0.2</v>
      </c>
      <c r="S45" s="1">
        <v>0.38</v>
      </c>
      <c r="T45" s="1">
        <v>0.33</v>
      </c>
      <c r="U45">
        <v>19378</v>
      </c>
      <c r="V45" s="1">
        <v>0.12</v>
      </c>
      <c r="W45">
        <v>3399</v>
      </c>
      <c r="X45" s="1">
        <v>0.25</v>
      </c>
      <c r="Y45" s="1">
        <f>(O45-P45)/O45</f>
        <v>6.5049233663748665E-2</v>
      </c>
      <c r="Z45" s="2">
        <f>P45/M45</f>
        <v>2.0542267631821218</v>
      </c>
    </row>
    <row r="46" spans="1:26" x14ac:dyDescent="0.45">
      <c r="A46" t="s">
        <v>242</v>
      </c>
      <c r="B46" t="s">
        <v>243</v>
      </c>
      <c r="C46" t="s">
        <v>244</v>
      </c>
      <c r="D46" t="s">
        <v>34</v>
      </c>
      <c r="E46" t="s">
        <v>83</v>
      </c>
      <c r="F46">
        <v>667</v>
      </c>
      <c r="G46">
        <v>275172</v>
      </c>
      <c r="H46" s="1">
        <v>7.4999999999999997E-2</v>
      </c>
      <c r="I46">
        <v>2351</v>
      </c>
      <c r="J46">
        <v>72617</v>
      </c>
      <c r="K46" s="10">
        <v>0.45</v>
      </c>
      <c r="L46" s="7">
        <v>28</v>
      </c>
      <c r="M46">
        <v>108871</v>
      </c>
      <c r="O46">
        <v>242119</v>
      </c>
      <c r="P46">
        <v>224430</v>
      </c>
      <c r="Q46" s="1">
        <v>0.20300000000000001</v>
      </c>
      <c r="R46" s="1">
        <v>0.2</v>
      </c>
      <c r="S46" s="1">
        <v>0.374</v>
      </c>
      <c r="T46" s="1">
        <v>0.316</v>
      </c>
      <c r="U46">
        <v>10638</v>
      </c>
      <c r="V46" s="1">
        <v>6.6000000000000003E-2</v>
      </c>
      <c r="W46">
        <v>3399</v>
      </c>
      <c r="X46" s="1">
        <v>0.25</v>
      </c>
      <c r="Y46" s="1">
        <f>(O46-P46)/O46</f>
        <v>7.3059115558878077E-2</v>
      </c>
      <c r="Z46" s="2">
        <f>P46/M46</f>
        <v>2.0614305003168889</v>
      </c>
    </row>
    <row r="47" spans="1:26" x14ac:dyDescent="0.45">
      <c r="A47" t="s">
        <v>425</v>
      </c>
      <c r="B47" t="s">
        <v>426</v>
      </c>
      <c r="C47" t="s">
        <v>427</v>
      </c>
      <c r="D47" t="s">
        <v>60</v>
      </c>
      <c r="E47" t="s">
        <v>30</v>
      </c>
      <c r="F47">
        <v>523</v>
      </c>
      <c r="G47">
        <v>240671</v>
      </c>
      <c r="H47" s="1">
        <v>5.8999999999999997E-2</v>
      </c>
      <c r="I47">
        <v>1789</v>
      </c>
      <c r="J47">
        <v>54177</v>
      </c>
      <c r="K47" s="10">
        <v>0.45300000000000001</v>
      </c>
      <c r="L47">
        <v>20</v>
      </c>
      <c r="M47">
        <v>103589</v>
      </c>
      <c r="O47">
        <v>228566</v>
      </c>
      <c r="P47">
        <v>201825</v>
      </c>
      <c r="Q47" s="1">
        <v>0.22</v>
      </c>
      <c r="R47" s="1">
        <v>0.22</v>
      </c>
      <c r="S47" s="1">
        <v>0.40400000000000003</v>
      </c>
      <c r="T47" s="1">
        <v>0.312</v>
      </c>
      <c r="U47">
        <v>17145</v>
      </c>
      <c r="V47" s="1">
        <v>0.14099999999999999</v>
      </c>
      <c r="W47">
        <v>2781</v>
      </c>
      <c r="X47" s="1">
        <v>0.59</v>
      </c>
      <c r="Y47" s="1">
        <f>(O47-P47)/O47</f>
        <v>0.11699465362302355</v>
      </c>
      <c r="Z47" s="2">
        <f>P47/M47</f>
        <v>1.9483246290629315</v>
      </c>
    </row>
    <row r="48" spans="1:26" x14ac:dyDescent="0.45">
      <c r="A48" t="s">
        <v>428</v>
      </c>
      <c r="B48" t="s">
        <v>429</v>
      </c>
      <c r="C48" t="s">
        <v>427</v>
      </c>
      <c r="D48" t="s">
        <v>60</v>
      </c>
      <c r="E48" t="s">
        <v>30</v>
      </c>
      <c r="F48">
        <v>409</v>
      </c>
      <c r="G48">
        <v>321683</v>
      </c>
      <c r="H48" s="4">
        <v>7.8E-2</v>
      </c>
      <c r="I48" s="7">
        <v>4331</v>
      </c>
      <c r="J48">
        <v>46618</v>
      </c>
      <c r="K48" s="10">
        <v>0.39200000000000002</v>
      </c>
      <c r="L48">
        <v>21</v>
      </c>
      <c r="M48">
        <v>113980</v>
      </c>
      <c r="O48">
        <v>291049</v>
      </c>
      <c r="P48">
        <v>260228</v>
      </c>
      <c r="Q48" s="1">
        <v>0.22</v>
      </c>
      <c r="R48" s="1">
        <v>0.22</v>
      </c>
      <c r="S48" s="4">
        <v>0.443</v>
      </c>
      <c r="T48" s="1">
        <v>0.36599999999999999</v>
      </c>
      <c r="U48">
        <v>15965</v>
      </c>
      <c r="V48" s="1">
        <v>0.13300000000000001</v>
      </c>
      <c r="W48">
        <v>4973</v>
      </c>
      <c r="X48">
        <v>0</v>
      </c>
      <c r="Y48" s="1">
        <f>(O48-P48)/O48</f>
        <v>0.10589625801840927</v>
      </c>
      <c r="Z48" s="2">
        <f>P48/M48</f>
        <v>2.2831022986488856</v>
      </c>
    </row>
    <row r="49" spans="1:26" x14ac:dyDescent="0.45">
      <c r="A49" t="s">
        <v>435</v>
      </c>
      <c r="B49" t="s">
        <v>436</v>
      </c>
      <c r="C49" t="s">
        <v>434</v>
      </c>
      <c r="D49" t="s">
        <v>60</v>
      </c>
      <c r="E49" t="s">
        <v>30</v>
      </c>
      <c r="F49">
        <v>748</v>
      </c>
      <c r="G49">
        <v>297718</v>
      </c>
      <c r="H49" s="1">
        <v>0.11700000000000001</v>
      </c>
      <c r="I49">
        <v>1554</v>
      </c>
      <c r="J49">
        <v>79574</v>
      </c>
      <c r="K49" s="10">
        <v>0.36399999999999999</v>
      </c>
      <c r="L49">
        <v>19</v>
      </c>
      <c r="M49">
        <v>106383</v>
      </c>
      <c r="O49">
        <v>292519</v>
      </c>
      <c r="P49">
        <v>257115</v>
      </c>
      <c r="Q49" s="1">
        <v>0.221</v>
      </c>
      <c r="R49" s="1">
        <v>0.22</v>
      </c>
      <c r="S49" s="1">
        <v>0.43200000000000011</v>
      </c>
      <c r="T49" s="1">
        <v>0.34</v>
      </c>
      <c r="U49">
        <v>13374</v>
      </c>
      <c r="V49" s="1">
        <v>5.8999999999999997E-2</v>
      </c>
      <c r="W49">
        <v>5397</v>
      </c>
      <c r="X49" s="1">
        <v>0</v>
      </c>
      <c r="Y49" s="1">
        <f>(O49-P49)/O49</f>
        <v>0.12103145436706675</v>
      </c>
      <c r="Z49" s="2">
        <f>P49/M49</f>
        <v>2.4168805166238965</v>
      </c>
    </row>
    <row r="50" spans="1:26" x14ac:dyDescent="0.45">
      <c r="A50" t="s">
        <v>142</v>
      </c>
      <c r="B50" t="s">
        <v>143</v>
      </c>
      <c r="C50" t="s">
        <v>139</v>
      </c>
      <c r="D50" t="s">
        <v>144</v>
      </c>
      <c r="E50" t="s">
        <v>30</v>
      </c>
      <c r="F50">
        <v>494</v>
      </c>
      <c r="G50">
        <v>240000</v>
      </c>
      <c r="H50" s="1">
        <v>8.6999999999999994E-2</v>
      </c>
      <c r="I50">
        <v>2063</v>
      </c>
      <c r="J50">
        <v>48751</v>
      </c>
      <c r="K50" s="10">
        <v>0.42099999999999999</v>
      </c>
      <c r="L50">
        <v>18</v>
      </c>
      <c r="M50">
        <v>98687</v>
      </c>
      <c r="O50">
        <v>234192</v>
      </c>
      <c r="P50">
        <v>209483</v>
      </c>
      <c r="Q50" s="1">
        <v>0.20200000000000001</v>
      </c>
      <c r="R50" s="1">
        <v>0.2</v>
      </c>
      <c r="S50" s="1">
        <v>0.40200000000000002</v>
      </c>
      <c r="T50" s="1">
        <v>0.32400000000000001</v>
      </c>
      <c r="U50">
        <v>15647</v>
      </c>
      <c r="V50" s="1">
        <v>0.128</v>
      </c>
      <c r="W50">
        <v>3598</v>
      </c>
      <c r="X50" s="1">
        <v>0.25</v>
      </c>
      <c r="Y50" s="1">
        <f>(O50-P50)/O50</f>
        <v>0.1055074468811915</v>
      </c>
      <c r="Z50" s="2">
        <f>P50/M50</f>
        <v>2.1227010649832296</v>
      </c>
    </row>
    <row r="51" spans="1:26" x14ac:dyDescent="0.45">
      <c r="A51" t="s">
        <v>193</v>
      </c>
      <c r="B51" t="s">
        <v>194</v>
      </c>
      <c r="C51" t="s">
        <v>195</v>
      </c>
      <c r="D51" t="s">
        <v>60</v>
      </c>
      <c r="E51" t="s">
        <v>30</v>
      </c>
      <c r="F51">
        <v>476</v>
      </c>
      <c r="G51">
        <v>248544</v>
      </c>
      <c r="H51" s="1">
        <v>8.5000000000000006E-2</v>
      </c>
      <c r="I51">
        <v>2171</v>
      </c>
      <c r="J51">
        <v>49018</v>
      </c>
      <c r="K51" s="10">
        <v>0.41899999999999998</v>
      </c>
      <c r="L51">
        <v>19</v>
      </c>
      <c r="M51">
        <v>102978</v>
      </c>
      <c r="O51">
        <v>245555</v>
      </c>
      <c r="P51">
        <v>220699</v>
      </c>
      <c r="Q51" s="1">
        <v>0.20300000000000001</v>
      </c>
      <c r="R51" s="1">
        <v>0.2</v>
      </c>
      <c r="S51" s="1">
        <v>0.38900000000000001</v>
      </c>
      <c r="T51" s="1">
        <v>0.32</v>
      </c>
      <c r="U51">
        <v>13363</v>
      </c>
      <c r="V51" s="1">
        <v>0.113</v>
      </c>
      <c r="W51">
        <v>3946</v>
      </c>
      <c r="X51" s="1">
        <v>0</v>
      </c>
      <c r="Y51" s="1">
        <f>(O51-P51)/O51</f>
        <v>0.10122375842479282</v>
      </c>
      <c r="Z51" s="2">
        <f>P51/M51</f>
        <v>2.1431665015828623</v>
      </c>
    </row>
    <row r="52" spans="1:26" x14ac:dyDescent="0.45">
      <c r="A52" t="s">
        <v>196</v>
      </c>
      <c r="B52" t="s">
        <v>194</v>
      </c>
      <c r="C52" t="s">
        <v>195</v>
      </c>
      <c r="D52" t="s">
        <v>60</v>
      </c>
      <c r="E52" t="s">
        <v>30</v>
      </c>
      <c r="F52">
        <v>476</v>
      </c>
      <c r="G52">
        <v>248544</v>
      </c>
      <c r="H52" s="1">
        <v>8.5000000000000006E-2</v>
      </c>
      <c r="I52">
        <v>2171</v>
      </c>
      <c r="J52">
        <v>49018</v>
      </c>
      <c r="K52" s="10">
        <v>0.41899999999999998</v>
      </c>
      <c r="L52">
        <v>19</v>
      </c>
      <c r="M52">
        <v>102978</v>
      </c>
      <c r="O52">
        <v>245555</v>
      </c>
      <c r="P52">
        <v>220699</v>
      </c>
      <c r="Q52" s="1">
        <v>0.20300000000000001</v>
      </c>
      <c r="R52" s="1">
        <v>0.2</v>
      </c>
      <c r="S52" s="1">
        <v>0.38900000000000001</v>
      </c>
      <c r="T52" s="1">
        <v>0.32</v>
      </c>
      <c r="U52">
        <v>13363</v>
      </c>
      <c r="V52" s="1">
        <v>0.113</v>
      </c>
      <c r="W52">
        <v>3946</v>
      </c>
      <c r="X52" s="1">
        <v>0</v>
      </c>
      <c r="Y52" s="1">
        <f>(O52-P52)/O52</f>
        <v>0.10122375842479282</v>
      </c>
      <c r="Z52" s="2">
        <f>P52/M52</f>
        <v>2.1431665015828623</v>
      </c>
    </row>
    <row r="53" spans="1:26" x14ac:dyDescent="0.45">
      <c r="A53" t="s">
        <v>380</v>
      </c>
      <c r="B53" t="s">
        <v>381</v>
      </c>
      <c r="C53" t="s">
        <v>379</v>
      </c>
      <c r="D53" t="s">
        <v>29</v>
      </c>
      <c r="E53" t="s">
        <v>30</v>
      </c>
      <c r="F53">
        <v>496</v>
      </c>
      <c r="G53">
        <v>240000</v>
      </c>
      <c r="H53" s="1">
        <v>7.0000000000000007E-2</v>
      </c>
      <c r="I53">
        <v>1561</v>
      </c>
      <c r="J53">
        <v>49492</v>
      </c>
      <c r="K53" s="10">
        <v>0.43700000000000011</v>
      </c>
      <c r="L53">
        <v>18</v>
      </c>
      <c r="M53">
        <v>99782</v>
      </c>
      <c r="O53">
        <v>228529</v>
      </c>
      <c r="P53">
        <v>204827</v>
      </c>
      <c r="Q53" s="1">
        <v>0.2</v>
      </c>
      <c r="R53" s="1">
        <v>0.2</v>
      </c>
      <c r="S53" s="1">
        <v>0.40200000000000002</v>
      </c>
      <c r="T53" s="1">
        <v>0.32500000000000001</v>
      </c>
      <c r="U53">
        <v>15876</v>
      </c>
      <c r="V53" s="1">
        <v>0.13100000000000001</v>
      </c>
      <c r="W53">
        <v>3563</v>
      </c>
      <c r="X53" s="1">
        <v>0.25</v>
      </c>
      <c r="Y53" s="1">
        <f>(O53-P53)/O53</f>
        <v>0.10371550219009404</v>
      </c>
      <c r="Z53" s="2">
        <f>P53/M53</f>
        <v>2.0527449840652623</v>
      </c>
    </row>
    <row r="54" spans="1:26" x14ac:dyDescent="0.45">
      <c r="A54" t="s">
        <v>382</v>
      </c>
      <c r="B54" t="s">
        <v>381</v>
      </c>
      <c r="C54" t="s">
        <v>379</v>
      </c>
      <c r="D54" t="s">
        <v>29</v>
      </c>
      <c r="E54" t="s">
        <v>30</v>
      </c>
      <c r="F54">
        <v>496</v>
      </c>
      <c r="G54">
        <v>240000</v>
      </c>
      <c r="H54" s="1">
        <v>7.0000000000000007E-2</v>
      </c>
      <c r="I54">
        <v>1561</v>
      </c>
      <c r="J54">
        <v>49492</v>
      </c>
      <c r="K54" s="10">
        <v>0.43700000000000011</v>
      </c>
      <c r="L54">
        <v>18</v>
      </c>
      <c r="M54">
        <v>99782</v>
      </c>
      <c r="O54">
        <v>228529</v>
      </c>
      <c r="P54">
        <v>204827</v>
      </c>
      <c r="Q54" s="1">
        <v>0.182</v>
      </c>
      <c r="R54" s="1">
        <v>0.2</v>
      </c>
      <c r="S54" s="1">
        <v>0.4</v>
      </c>
      <c r="T54" s="1">
        <v>0.32200000000000001</v>
      </c>
      <c r="U54">
        <v>18735</v>
      </c>
      <c r="V54" s="1">
        <v>0.156</v>
      </c>
      <c r="W54">
        <v>3563</v>
      </c>
      <c r="X54" s="1">
        <v>0.25</v>
      </c>
      <c r="Y54" s="1">
        <f>(O54-P54)/O54</f>
        <v>0.10371550219009404</v>
      </c>
      <c r="Z54" s="2">
        <f>P54/M54</f>
        <v>2.0527449840652623</v>
      </c>
    </row>
    <row r="55" spans="1:26" x14ac:dyDescent="0.45">
      <c r="A55" t="s">
        <v>262</v>
      </c>
      <c r="B55" t="s">
        <v>263</v>
      </c>
      <c r="C55" t="s">
        <v>260</v>
      </c>
      <c r="D55" t="s">
        <v>29</v>
      </c>
      <c r="E55" t="s">
        <v>30</v>
      </c>
      <c r="F55">
        <v>467</v>
      </c>
      <c r="G55">
        <v>264000</v>
      </c>
      <c r="H55" s="1">
        <v>7.2000000000000008E-2</v>
      </c>
      <c r="I55">
        <v>1941</v>
      </c>
      <c r="J55">
        <v>48780</v>
      </c>
      <c r="K55" s="10">
        <v>0.4</v>
      </c>
      <c r="L55">
        <v>19</v>
      </c>
      <c r="M55">
        <v>104455</v>
      </c>
      <c r="O55">
        <v>261029</v>
      </c>
      <c r="P55">
        <v>237203</v>
      </c>
      <c r="Q55" s="1">
        <v>0.20100000000000001</v>
      </c>
      <c r="R55" s="1">
        <v>0.2</v>
      </c>
      <c r="S55" s="1">
        <v>0.42099999999999999</v>
      </c>
      <c r="T55" s="1">
        <v>0.35599999999999998</v>
      </c>
      <c r="U55">
        <v>23167</v>
      </c>
      <c r="V55" s="1">
        <v>0.17899999999999999</v>
      </c>
      <c r="W55">
        <v>5199</v>
      </c>
      <c r="X55" s="1">
        <v>0</v>
      </c>
      <c r="Y55" s="1">
        <f>(O55-P55)/O55</f>
        <v>9.127721440912695E-2</v>
      </c>
      <c r="Z55" s="2">
        <f>P55/M55</f>
        <v>2.2708630510746253</v>
      </c>
    </row>
    <row r="56" spans="1:26" x14ac:dyDescent="0.45">
      <c r="A56" t="s">
        <v>64</v>
      </c>
      <c r="B56" t="s">
        <v>65</v>
      </c>
      <c r="C56" t="s">
        <v>66</v>
      </c>
      <c r="D56" t="s">
        <v>29</v>
      </c>
      <c r="E56" t="s">
        <v>30</v>
      </c>
      <c r="F56">
        <v>400</v>
      </c>
      <c r="G56">
        <v>253288</v>
      </c>
      <c r="H56" s="1">
        <v>0.14000000000000001</v>
      </c>
      <c r="I56">
        <v>3344</v>
      </c>
      <c r="J56">
        <v>38828</v>
      </c>
      <c r="K56" s="10">
        <v>0.38400000000000001</v>
      </c>
      <c r="L56">
        <v>18</v>
      </c>
      <c r="M56">
        <v>97070</v>
      </c>
      <c r="O56">
        <v>252601</v>
      </c>
      <c r="P56">
        <v>232905</v>
      </c>
      <c r="Q56" s="1">
        <v>0.2</v>
      </c>
      <c r="R56" s="1">
        <v>0.2</v>
      </c>
      <c r="S56" s="1">
        <v>0.38500000000000001</v>
      </c>
      <c r="T56" s="1">
        <v>0.32700000000000001</v>
      </c>
      <c r="U56">
        <v>9278</v>
      </c>
      <c r="V56" s="1">
        <v>8.5999999999999993E-2</v>
      </c>
      <c r="W56">
        <v>4420</v>
      </c>
      <c r="X56" s="1">
        <v>0</v>
      </c>
      <c r="Y56" s="1">
        <f>(O56-P56)/O56</f>
        <v>7.7972771287524598E-2</v>
      </c>
      <c r="Z56" s="2">
        <f>P56/M56</f>
        <v>2.3993509838261047</v>
      </c>
    </row>
    <row r="57" spans="1:26" x14ac:dyDescent="0.45">
      <c r="A57" t="s">
        <v>239</v>
      </c>
      <c r="B57" t="s">
        <v>240</v>
      </c>
      <c r="C57" t="s">
        <v>241</v>
      </c>
      <c r="D57" t="s">
        <v>29</v>
      </c>
      <c r="E57" t="s">
        <v>30</v>
      </c>
      <c r="F57">
        <v>606</v>
      </c>
      <c r="G57">
        <v>243589</v>
      </c>
      <c r="H57" s="1">
        <v>6.0999999999999999E-2</v>
      </c>
      <c r="I57">
        <v>1403</v>
      </c>
      <c r="J57">
        <v>61847</v>
      </c>
      <c r="K57" s="10">
        <v>0.43700000000000011</v>
      </c>
      <c r="L57">
        <v>20</v>
      </c>
      <c r="M57">
        <v>102058</v>
      </c>
      <c r="O57">
        <v>233407</v>
      </c>
      <c r="P57">
        <v>212734</v>
      </c>
      <c r="Q57" s="1">
        <v>0.20499999999999999</v>
      </c>
      <c r="R57" s="1">
        <v>0.2</v>
      </c>
      <c r="S57" s="1">
        <v>0.41</v>
      </c>
      <c r="T57" s="1">
        <v>0.34599999999999997</v>
      </c>
      <c r="U57">
        <v>22011</v>
      </c>
      <c r="V57" s="1">
        <v>0.14499999999999999</v>
      </c>
      <c r="W57">
        <v>3873</v>
      </c>
      <c r="X57" s="1">
        <v>0.22500000000000001</v>
      </c>
      <c r="Y57" s="1">
        <f>(O57-P57)/O57</f>
        <v>8.8570608422198133E-2</v>
      </c>
      <c r="Z57" s="2">
        <f>P57/M57</f>
        <v>2.0844421799368988</v>
      </c>
    </row>
    <row r="58" spans="1:26" x14ac:dyDescent="0.45">
      <c r="A58" t="s">
        <v>277</v>
      </c>
      <c r="B58" t="s">
        <v>240</v>
      </c>
      <c r="C58" t="s">
        <v>278</v>
      </c>
      <c r="D58" t="s">
        <v>29</v>
      </c>
      <c r="E58" t="s">
        <v>30</v>
      </c>
      <c r="F58">
        <v>606</v>
      </c>
      <c r="G58">
        <v>243589</v>
      </c>
      <c r="H58" s="1">
        <v>6.0999999999999999E-2</v>
      </c>
      <c r="I58">
        <v>1403</v>
      </c>
      <c r="J58">
        <v>61847</v>
      </c>
      <c r="K58" s="10">
        <v>0.43700000000000011</v>
      </c>
      <c r="L58">
        <v>20</v>
      </c>
      <c r="M58">
        <v>102058</v>
      </c>
      <c r="O58">
        <v>233407</v>
      </c>
      <c r="P58">
        <v>212734</v>
      </c>
      <c r="Q58" s="1">
        <v>0.2</v>
      </c>
      <c r="R58" s="1">
        <v>0.2</v>
      </c>
      <c r="S58" s="1">
        <v>0.40699999999999997</v>
      </c>
      <c r="T58" s="1">
        <v>0.34300000000000003</v>
      </c>
      <c r="U58">
        <v>21879</v>
      </c>
      <c r="V58" s="1">
        <v>0.14599999999999999</v>
      </c>
      <c r="W58">
        <v>3873</v>
      </c>
      <c r="X58" s="1">
        <v>0.13700000000000001</v>
      </c>
      <c r="Y58" s="1">
        <f>(O58-P58)/O58</f>
        <v>8.8570608422198133E-2</v>
      </c>
      <c r="Z58" s="2">
        <f>P58/M58</f>
        <v>2.0844421799368988</v>
      </c>
    </row>
    <row r="59" spans="1:26" x14ac:dyDescent="0.45">
      <c r="A59" t="s">
        <v>279</v>
      </c>
      <c r="B59" t="s">
        <v>240</v>
      </c>
      <c r="C59" t="s">
        <v>278</v>
      </c>
      <c r="D59" t="s">
        <v>29</v>
      </c>
      <c r="E59" t="s">
        <v>30</v>
      </c>
      <c r="F59">
        <v>606</v>
      </c>
      <c r="G59">
        <v>243589</v>
      </c>
      <c r="H59" s="1">
        <v>6.0999999999999999E-2</v>
      </c>
      <c r="I59">
        <v>1403</v>
      </c>
      <c r="J59">
        <v>61847</v>
      </c>
      <c r="K59" s="10">
        <v>0.43700000000000011</v>
      </c>
      <c r="L59">
        <v>20</v>
      </c>
      <c r="M59">
        <v>102058</v>
      </c>
      <c r="O59">
        <v>233407</v>
      </c>
      <c r="P59">
        <v>212734</v>
      </c>
      <c r="Q59" s="1">
        <v>0.2</v>
      </c>
      <c r="R59" s="1">
        <v>0.2</v>
      </c>
      <c r="S59" s="1">
        <v>0.40699999999999997</v>
      </c>
      <c r="T59" s="1">
        <v>0.34300000000000003</v>
      </c>
      <c r="U59">
        <v>21879</v>
      </c>
      <c r="V59" s="1">
        <v>0.14599999999999999</v>
      </c>
      <c r="W59">
        <v>3873</v>
      </c>
      <c r="X59" s="1">
        <v>0.13700000000000001</v>
      </c>
      <c r="Y59" s="1">
        <f>(O59-P59)/O59</f>
        <v>8.8570608422198133E-2</v>
      </c>
      <c r="Z59" s="2">
        <f>P59/M59</f>
        <v>2.0844421799368988</v>
      </c>
    </row>
    <row r="60" spans="1:26" x14ac:dyDescent="0.45">
      <c r="A60" t="s">
        <v>344</v>
      </c>
      <c r="B60" t="s">
        <v>345</v>
      </c>
      <c r="C60" t="s">
        <v>343</v>
      </c>
      <c r="D60" t="s">
        <v>60</v>
      </c>
      <c r="E60" t="s">
        <v>30</v>
      </c>
      <c r="F60">
        <v>494</v>
      </c>
      <c r="G60">
        <v>243279</v>
      </c>
      <c r="H60" s="1">
        <v>8.5999999999999993E-2</v>
      </c>
      <c r="I60">
        <v>2078</v>
      </c>
      <c r="J60">
        <v>50671</v>
      </c>
      <c r="K60" s="10">
        <v>0.43</v>
      </c>
      <c r="L60">
        <v>19</v>
      </c>
      <c r="M60">
        <v>102573</v>
      </c>
      <c r="O60">
        <v>238783</v>
      </c>
      <c r="P60">
        <v>217628</v>
      </c>
      <c r="Q60" s="1">
        <v>0.186</v>
      </c>
      <c r="R60" s="1">
        <v>0.2</v>
      </c>
      <c r="S60" s="1">
        <v>0.38800000000000001</v>
      </c>
      <c r="T60" s="1">
        <v>0.32200000000000001</v>
      </c>
      <c r="U60">
        <v>15664</v>
      </c>
      <c r="V60" s="1">
        <v>0.13300000000000001</v>
      </c>
      <c r="W60">
        <v>4135</v>
      </c>
      <c r="X60" s="1">
        <v>0</v>
      </c>
      <c r="Y60" s="1">
        <f>(O60-P60)/O60</f>
        <v>8.8595084239665306E-2</v>
      </c>
      <c r="Z60" s="2">
        <f>P60/M60</f>
        <v>2.1216889434841528</v>
      </c>
    </row>
    <row r="61" spans="1:26" x14ac:dyDescent="0.45">
      <c r="A61" t="s">
        <v>390</v>
      </c>
      <c r="B61" t="s">
        <v>345</v>
      </c>
      <c r="C61" t="s">
        <v>391</v>
      </c>
      <c r="D61" t="s">
        <v>312</v>
      </c>
      <c r="E61" t="s">
        <v>30</v>
      </c>
      <c r="F61">
        <v>494</v>
      </c>
      <c r="G61">
        <v>243006</v>
      </c>
      <c r="H61" s="1">
        <v>8.8000000000000009E-2</v>
      </c>
      <c r="I61">
        <v>2398</v>
      </c>
      <c r="J61">
        <v>49509</v>
      </c>
      <c r="K61" s="10">
        <v>0.42</v>
      </c>
      <c r="L61">
        <v>19</v>
      </c>
      <c r="M61">
        <v>100220</v>
      </c>
      <c r="O61">
        <v>238783</v>
      </c>
      <c r="P61">
        <v>217628</v>
      </c>
      <c r="Q61" s="1">
        <v>0.19700000000000001</v>
      </c>
      <c r="R61" s="1">
        <v>0.2</v>
      </c>
      <c r="S61" s="1">
        <v>0.39900000000000002</v>
      </c>
      <c r="T61" s="1">
        <v>0.33400000000000002</v>
      </c>
      <c r="U61">
        <v>15273</v>
      </c>
      <c r="V61" s="1">
        <v>0.13100000000000001</v>
      </c>
      <c r="W61">
        <v>4135</v>
      </c>
      <c r="X61" s="1">
        <v>0</v>
      </c>
      <c r="Y61" s="1">
        <f>(O61-P61)/O61</f>
        <v>8.8595084239665306E-2</v>
      </c>
      <c r="Z61" s="2">
        <f>P61/M61</f>
        <v>2.1715026940730393</v>
      </c>
    </row>
    <row r="62" spans="1:26" x14ac:dyDescent="0.45">
      <c r="A62" t="s">
        <v>447</v>
      </c>
      <c r="B62" t="s">
        <v>345</v>
      </c>
      <c r="C62" t="s">
        <v>448</v>
      </c>
      <c r="D62" t="s">
        <v>34</v>
      </c>
      <c r="E62" t="s">
        <v>30</v>
      </c>
      <c r="F62">
        <v>494</v>
      </c>
      <c r="G62">
        <v>243006</v>
      </c>
      <c r="H62" s="1">
        <v>8.6999999999999994E-2</v>
      </c>
      <c r="I62">
        <v>2451</v>
      </c>
      <c r="J62">
        <v>50111</v>
      </c>
      <c r="K62" s="10">
        <v>0.41299999999999998</v>
      </c>
      <c r="L62">
        <v>19</v>
      </c>
      <c r="M62">
        <v>101439</v>
      </c>
      <c r="N62" s="1">
        <v>1E-3</v>
      </c>
      <c r="O62">
        <v>245505</v>
      </c>
      <c r="P62">
        <v>216533</v>
      </c>
      <c r="Q62" s="1">
        <v>0.221</v>
      </c>
      <c r="R62" s="1">
        <v>0.22</v>
      </c>
      <c r="S62" s="1">
        <v>0.42</v>
      </c>
      <c r="T62" s="1">
        <v>0.33</v>
      </c>
      <c r="U62">
        <v>14440</v>
      </c>
      <c r="V62" s="1">
        <v>0.11899999999999999</v>
      </c>
      <c r="W62">
        <v>4135</v>
      </c>
      <c r="X62" s="1">
        <v>0.182</v>
      </c>
      <c r="Y62" s="1">
        <f>(O62-P62)/O62</f>
        <v>0.11800981650068226</v>
      </c>
      <c r="Z62" s="2">
        <f>P62/M62</f>
        <v>2.1346129200800483</v>
      </c>
    </row>
    <row r="63" spans="1:26" x14ac:dyDescent="0.45">
      <c r="A63" t="s">
        <v>447</v>
      </c>
      <c r="B63" t="s">
        <v>345</v>
      </c>
      <c r="C63" t="s">
        <v>448</v>
      </c>
      <c r="D63" t="s">
        <v>34</v>
      </c>
      <c r="E63" t="s">
        <v>35</v>
      </c>
      <c r="F63">
        <v>494</v>
      </c>
      <c r="G63">
        <v>243006</v>
      </c>
      <c r="H63" s="1">
        <v>8.6999999999999994E-2</v>
      </c>
      <c r="I63">
        <v>2472</v>
      </c>
      <c r="J63">
        <v>50111</v>
      </c>
      <c r="K63" s="10">
        <v>0.40899999999999997</v>
      </c>
      <c r="L63">
        <v>19</v>
      </c>
      <c r="M63">
        <v>101439</v>
      </c>
      <c r="N63" s="1">
        <v>1E-3</v>
      </c>
      <c r="O63">
        <v>248120</v>
      </c>
      <c r="P63">
        <v>219293</v>
      </c>
      <c r="Q63" s="1">
        <v>0.224</v>
      </c>
      <c r="R63" s="1">
        <v>0.22</v>
      </c>
      <c r="S63" s="1">
        <v>0.42</v>
      </c>
      <c r="T63" s="1">
        <v>0.33100000000000002</v>
      </c>
      <c r="U63">
        <v>11933</v>
      </c>
      <c r="V63" s="1">
        <v>9.6999999999999989E-2</v>
      </c>
      <c r="W63">
        <v>4135</v>
      </c>
      <c r="X63" s="1">
        <v>0.182</v>
      </c>
      <c r="Y63" s="1">
        <f>(O63-P63)/O63</f>
        <v>0.11618168628083185</v>
      </c>
      <c r="Z63" s="2">
        <f>P63/M63</f>
        <v>2.1618213901950925</v>
      </c>
    </row>
    <row r="64" spans="1:26" x14ac:dyDescent="0.45">
      <c r="A64" t="s">
        <v>447</v>
      </c>
      <c r="B64" t="s">
        <v>345</v>
      </c>
      <c r="C64" t="s">
        <v>448</v>
      </c>
      <c r="D64" t="s">
        <v>34</v>
      </c>
      <c r="E64" t="s">
        <v>30</v>
      </c>
      <c r="F64">
        <v>494</v>
      </c>
      <c r="G64">
        <v>243006</v>
      </c>
      <c r="H64">
        <v>8.6999999999999994E-2</v>
      </c>
      <c r="I64">
        <v>2472</v>
      </c>
      <c r="J64">
        <v>50111</v>
      </c>
      <c r="K64" s="10">
        <v>0.41299999999999998</v>
      </c>
      <c r="L64">
        <v>19</v>
      </c>
      <c r="M64">
        <v>101439</v>
      </c>
      <c r="O64">
        <v>245505</v>
      </c>
      <c r="P64">
        <v>216533</v>
      </c>
      <c r="Q64">
        <v>0.221</v>
      </c>
      <c r="R64">
        <v>0.22</v>
      </c>
      <c r="S64">
        <v>0.42</v>
      </c>
      <c r="T64">
        <v>0.33</v>
      </c>
      <c r="U64">
        <v>14440</v>
      </c>
      <c r="V64">
        <v>0.11899999999999999</v>
      </c>
      <c r="W64">
        <v>4135</v>
      </c>
      <c r="X64">
        <v>0.182</v>
      </c>
      <c r="Y64" s="1">
        <f>(O64-P64)/O64</f>
        <v>0.11800981650068226</v>
      </c>
      <c r="Z64" s="2">
        <f>P64/M64</f>
        <v>2.1346129200800483</v>
      </c>
    </row>
    <row r="65" spans="1:26" x14ac:dyDescent="0.45">
      <c r="A65" t="s">
        <v>299</v>
      </c>
      <c r="B65" t="s">
        <v>300</v>
      </c>
      <c r="C65" t="s">
        <v>301</v>
      </c>
      <c r="D65" t="s">
        <v>302</v>
      </c>
      <c r="E65" t="s">
        <v>30</v>
      </c>
      <c r="F65">
        <v>634</v>
      </c>
      <c r="G65">
        <v>288139</v>
      </c>
      <c r="H65" s="5">
        <v>0.158</v>
      </c>
      <c r="I65" s="7">
        <v>5027</v>
      </c>
      <c r="J65">
        <v>63007</v>
      </c>
      <c r="K65" s="10">
        <v>0.36699999999999999</v>
      </c>
      <c r="L65">
        <v>17</v>
      </c>
      <c r="M65">
        <v>99380</v>
      </c>
      <c r="O65">
        <v>270979</v>
      </c>
      <c r="P65">
        <v>250150</v>
      </c>
      <c r="Q65" s="1">
        <v>0.2</v>
      </c>
      <c r="R65" s="1">
        <v>0.2</v>
      </c>
      <c r="S65" s="1">
        <v>0.39500000000000002</v>
      </c>
      <c r="T65" s="1">
        <v>0.33900000000000002</v>
      </c>
      <c r="U65">
        <v>9106</v>
      </c>
      <c r="V65" s="1">
        <v>4.8000000000000001E-2</v>
      </c>
      <c r="W65">
        <v>5299</v>
      </c>
      <c r="X65" s="1">
        <v>0</v>
      </c>
      <c r="Y65" s="1">
        <f>(O65-P65)/O65</f>
        <v>7.6865734983153675E-2</v>
      </c>
      <c r="Z65" s="2">
        <f>P65/M65</f>
        <v>2.5171060575568527</v>
      </c>
    </row>
    <row r="66" spans="1:26" x14ac:dyDescent="0.45">
      <c r="A66" t="s">
        <v>282</v>
      </c>
      <c r="B66" t="s">
        <v>283</v>
      </c>
      <c r="C66" t="s">
        <v>284</v>
      </c>
      <c r="D66" t="s">
        <v>285</v>
      </c>
      <c r="E66" t="s">
        <v>30</v>
      </c>
      <c r="F66">
        <v>370</v>
      </c>
      <c r="G66">
        <v>286589</v>
      </c>
      <c r="H66" s="1">
        <v>0.128</v>
      </c>
      <c r="I66" s="6">
        <v>6266</v>
      </c>
      <c r="J66">
        <v>37334</v>
      </c>
      <c r="K66" s="10">
        <v>0.36</v>
      </c>
      <c r="L66">
        <v>18</v>
      </c>
      <c r="M66">
        <v>100902</v>
      </c>
      <c r="O66">
        <v>280420</v>
      </c>
      <c r="P66">
        <v>258705</v>
      </c>
      <c r="Q66" s="1">
        <v>0.21099999999999999</v>
      </c>
      <c r="R66" s="1">
        <v>0.2</v>
      </c>
      <c r="S66" s="1">
        <v>0.40400000000000003</v>
      </c>
      <c r="T66" s="1">
        <v>0.34799999999999998</v>
      </c>
      <c r="U66">
        <v>13492</v>
      </c>
      <c r="V66" s="1">
        <v>0.128</v>
      </c>
      <c r="W66">
        <v>5436</v>
      </c>
      <c r="X66" s="1">
        <v>0</v>
      </c>
      <c r="Y66" s="1">
        <f>(O66-P66)/O66</f>
        <v>7.7437415305613003E-2</v>
      </c>
      <c r="Z66" s="2">
        <f>P66/M66</f>
        <v>2.563923410834275</v>
      </c>
    </row>
    <row r="67" spans="1:26" x14ac:dyDescent="0.45">
      <c r="A67" t="s">
        <v>102</v>
      </c>
      <c r="B67" t="s">
        <v>103</v>
      </c>
      <c r="C67" t="s">
        <v>101</v>
      </c>
      <c r="D67" t="s">
        <v>34</v>
      </c>
      <c r="E67" t="s">
        <v>30</v>
      </c>
      <c r="F67">
        <v>1043</v>
      </c>
      <c r="G67">
        <v>263317</v>
      </c>
      <c r="H67" s="1">
        <v>6.7000000000000004E-2</v>
      </c>
      <c r="I67">
        <v>1139</v>
      </c>
      <c r="J67">
        <v>91594</v>
      </c>
      <c r="K67" s="10">
        <v>0.34699999999999998</v>
      </c>
      <c r="L67">
        <v>21</v>
      </c>
      <c r="M67">
        <v>87818</v>
      </c>
      <c r="O67">
        <v>253150</v>
      </c>
      <c r="P67">
        <v>229232</v>
      </c>
      <c r="Q67" s="8">
        <v>0.30399999999999999</v>
      </c>
      <c r="R67" s="1">
        <v>0.2</v>
      </c>
      <c r="S67" s="5">
        <v>0.51500000000000001</v>
      </c>
      <c r="T67" s="8">
        <v>0.45900000000000002</v>
      </c>
      <c r="U67">
        <v>18808</v>
      </c>
      <c r="V67" s="1">
        <v>7.0000000000000007E-2</v>
      </c>
      <c r="W67">
        <v>4693</v>
      </c>
      <c r="X67" s="1">
        <v>0</v>
      </c>
      <c r="Y67" s="1">
        <f>(O67-P67)/O67</f>
        <v>9.4481532688129574E-2</v>
      </c>
      <c r="Z67" s="2">
        <f>P67/M67</f>
        <v>2.6103076817964426</v>
      </c>
    </row>
    <row r="68" spans="1:26" x14ac:dyDescent="0.45">
      <c r="A68" t="s">
        <v>102</v>
      </c>
      <c r="B68" t="s">
        <v>103</v>
      </c>
      <c r="C68" t="s">
        <v>101</v>
      </c>
      <c r="D68" t="s">
        <v>34</v>
      </c>
      <c r="E68" t="s">
        <v>35</v>
      </c>
      <c r="F68">
        <v>1043</v>
      </c>
      <c r="G68">
        <v>263317</v>
      </c>
      <c r="H68" s="1">
        <v>6.6000000000000003E-2</v>
      </c>
      <c r="I68">
        <v>1139</v>
      </c>
      <c r="J68">
        <v>91594</v>
      </c>
      <c r="K68" s="10">
        <v>0.34300000000000003</v>
      </c>
      <c r="L68">
        <v>21</v>
      </c>
      <c r="M68">
        <v>87818</v>
      </c>
      <c r="O68">
        <v>255972</v>
      </c>
      <c r="P68">
        <v>231996</v>
      </c>
      <c r="Q68" s="8">
        <v>0.30499999999999999</v>
      </c>
      <c r="R68" s="1">
        <v>0.2</v>
      </c>
      <c r="S68" s="5">
        <v>0.51700000000000002</v>
      </c>
      <c r="T68" s="8">
        <v>0.46</v>
      </c>
      <c r="U68">
        <v>16646</v>
      </c>
      <c r="V68" s="1">
        <v>6.0999999999999999E-2</v>
      </c>
      <c r="W68">
        <v>4194</v>
      </c>
      <c r="X68" s="1">
        <v>0</v>
      </c>
      <c r="Y68" s="1">
        <f>(O68-P68)/O68</f>
        <v>9.3666494772865788E-2</v>
      </c>
      <c r="Z68" s="2">
        <f>P68/M68</f>
        <v>2.6417818670432029</v>
      </c>
    </row>
    <row r="69" spans="1:26" x14ac:dyDescent="0.45">
      <c r="A69" t="s">
        <v>430</v>
      </c>
      <c r="B69" t="s">
        <v>431</v>
      </c>
      <c r="C69" t="s">
        <v>427</v>
      </c>
      <c r="D69" t="s">
        <v>34</v>
      </c>
      <c r="E69" t="s">
        <v>30</v>
      </c>
      <c r="F69">
        <v>379</v>
      </c>
      <c r="G69">
        <v>266898</v>
      </c>
      <c r="H69" s="1">
        <v>6.3E-2</v>
      </c>
      <c r="I69">
        <v>425</v>
      </c>
      <c r="J69">
        <v>36597</v>
      </c>
      <c r="K69" s="10">
        <v>0.34599999999999997</v>
      </c>
      <c r="L69">
        <v>18</v>
      </c>
      <c r="M69">
        <v>96561</v>
      </c>
      <c r="O69">
        <v>279141</v>
      </c>
      <c r="P69">
        <v>245636</v>
      </c>
      <c r="Q69" s="8">
        <v>0.32900000000000001</v>
      </c>
      <c r="R69" s="1">
        <v>0.30599999999999999</v>
      </c>
      <c r="S69" s="5">
        <v>0.52600000000000002</v>
      </c>
      <c r="T69" s="5">
        <v>0.45100000000000001</v>
      </c>
      <c r="U69">
        <v>11316</v>
      </c>
      <c r="V69" s="1">
        <v>0.107</v>
      </c>
      <c r="W69">
        <v>4291</v>
      </c>
      <c r="X69" s="1">
        <v>0</v>
      </c>
      <c r="Y69" s="1">
        <f>(O69-P69)/O69</f>
        <v>0.12002894594488091</v>
      </c>
      <c r="Z69" s="2">
        <f>P69/M69</f>
        <v>2.5438427522498732</v>
      </c>
    </row>
    <row r="70" spans="1:26" x14ac:dyDescent="0.45">
      <c r="A70" t="s">
        <v>430</v>
      </c>
      <c r="B70" t="s">
        <v>431</v>
      </c>
      <c r="C70" t="s">
        <v>427</v>
      </c>
      <c r="D70" t="s">
        <v>34</v>
      </c>
      <c r="E70" t="s">
        <v>35</v>
      </c>
      <c r="F70">
        <v>379</v>
      </c>
      <c r="G70">
        <v>266898</v>
      </c>
      <c r="H70" s="1">
        <v>6.4000000000000001E-2</v>
      </c>
      <c r="I70">
        <v>425</v>
      </c>
      <c r="J70">
        <v>36597</v>
      </c>
      <c r="K70" s="10">
        <v>0.35299999999999998</v>
      </c>
      <c r="L70">
        <v>18</v>
      </c>
      <c r="M70">
        <v>96561</v>
      </c>
      <c r="O70">
        <v>273488</v>
      </c>
      <c r="P70">
        <v>240662</v>
      </c>
      <c r="Q70" s="8">
        <v>0.33700000000000002</v>
      </c>
      <c r="R70" s="1">
        <v>0.22</v>
      </c>
      <c r="S70" s="5">
        <v>0.52100000000000002</v>
      </c>
      <c r="T70" s="5">
        <v>0.44600000000000001</v>
      </c>
      <c r="U70">
        <v>8234</v>
      </c>
      <c r="V70" s="1">
        <v>7.9000000000000001E-2</v>
      </c>
      <c r="W70">
        <v>4291</v>
      </c>
      <c r="X70" s="1">
        <v>0</v>
      </c>
      <c r="Y70" s="1">
        <f>(O70-P70)/O70</f>
        <v>0.12002720411864506</v>
      </c>
      <c r="Z70" s="2">
        <f>P70/M70</f>
        <v>2.4923312724598956</v>
      </c>
    </row>
    <row r="71" spans="1:26" x14ac:dyDescent="0.45">
      <c r="A71" t="s">
        <v>72</v>
      </c>
      <c r="B71" t="s">
        <v>73</v>
      </c>
      <c r="C71" t="s">
        <v>74</v>
      </c>
      <c r="D71" t="s">
        <v>75</v>
      </c>
      <c r="E71" t="s">
        <v>30</v>
      </c>
      <c r="F71">
        <v>409</v>
      </c>
      <c r="G71">
        <v>297115</v>
      </c>
      <c r="H71" s="1">
        <v>8.4000000000000005E-2</v>
      </c>
      <c r="I71">
        <v>4380</v>
      </c>
      <c r="J71">
        <v>43662</v>
      </c>
      <c r="K71" s="10">
        <v>0.42199999999999999</v>
      </c>
      <c r="L71">
        <v>22</v>
      </c>
      <c r="M71">
        <v>106753</v>
      </c>
      <c r="O71">
        <v>253073</v>
      </c>
      <c r="P71">
        <v>236834</v>
      </c>
      <c r="Q71" s="1">
        <v>0.2</v>
      </c>
      <c r="R71" s="1">
        <v>0.2</v>
      </c>
      <c r="S71" s="1">
        <v>0.39900000000000002</v>
      </c>
      <c r="T71" s="1">
        <v>0.35199999999999998</v>
      </c>
      <c r="U71">
        <v>13823</v>
      </c>
      <c r="V71" s="1">
        <v>0.124</v>
      </c>
      <c r="W71">
        <v>4224</v>
      </c>
      <c r="X71" s="1">
        <v>0</v>
      </c>
      <c r="Y71" s="1">
        <f>(O71-P71)/O71</f>
        <v>6.4167256088164287E-2</v>
      </c>
      <c r="Z71" s="2">
        <f>P71/M71</f>
        <v>2.218523132839358</v>
      </c>
    </row>
    <row r="72" spans="1:26" x14ac:dyDescent="0.45">
      <c r="A72" t="s">
        <v>346</v>
      </c>
      <c r="B72" t="s">
        <v>347</v>
      </c>
      <c r="C72" t="s">
        <v>343</v>
      </c>
      <c r="D72" t="s">
        <v>29</v>
      </c>
      <c r="E72" t="s">
        <v>30</v>
      </c>
      <c r="F72">
        <v>1500</v>
      </c>
      <c r="G72">
        <v>207147</v>
      </c>
      <c r="H72" s="1">
        <v>8.5000000000000006E-2</v>
      </c>
      <c r="I72">
        <v>420</v>
      </c>
      <c r="J72" s="7">
        <v>137990</v>
      </c>
      <c r="K72" s="10">
        <v>0.46200000000000002</v>
      </c>
      <c r="L72">
        <v>14</v>
      </c>
      <c r="M72">
        <v>91993</v>
      </c>
      <c r="O72">
        <v>199237</v>
      </c>
      <c r="P72">
        <v>181500</v>
      </c>
      <c r="Q72" s="1">
        <v>0.21299999999999999</v>
      </c>
      <c r="R72" s="1">
        <v>0.2</v>
      </c>
      <c r="S72" s="1">
        <v>0.38500000000000001</v>
      </c>
      <c r="T72" s="1">
        <v>0.31900000000000001</v>
      </c>
      <c r="U72">
        <v>17242</v>
      </c>
      <c r="V72" s="1">
        <v>5.1999999999999998E-2</v>
      </c>
      <c r="W72">
        <v>2733</v>
      </c>
      <c r="X72" s="1">
        <v>0.75599999999999989</v>
      </c>
      <c r="Y72" s="1">
        <f>(O72-P72)/O72</f>
        <v>8.902462895948042E-2</v>
      </c>
      <c r="Z72" s="2">
        <f>P72/M72</f>
        <v>1.972976204711228</v>
      </c>
    </row>
    <row r="73" spans="1:26" x14ac:dyDescent="0.45">
      <c r="A73" t="s">
        <v>174</v>
      </c>
      <c r="B73" t="s">
        <v>175</v>
      </c>
      <c r="C73" t="s">
        <v>171</v>
      </c>
      <c r="D73" t="s">
        <v>29</v>
      </c>
      <c r="E73" t="s">
        <v>30</v>
      </c>
      <c r="F73">
        <v>432</v>
      </c>
      <c r="G73">
        <v>221581</v>
      </c>
      <c r="H73" s="1">
        <v>0.09</v>
      </c>
      <c r="I73">
        <v>431</v>
      </c>
      <c r="J73">
        <v>43803</v>
      </c>
      <c r="K73" s="10">
        <v>0.46899999999999997</v>
      </c>
      <c r="L73">
        <v>11</v>
      </c>
      <c r="M73">
        <v>101395</v>
      </c>
      <c r="O73">
        <v>216050</v>
      </c>
      <c r="P73">
        <v>194800</v>
      </c>
      <c r="Q73" s="1">
        <v>0.20200000000000001</v>
      </c>
      <c r="R73" s="1">
        <v>0.2</v>
      </c>
      <c r="S73" s="1">
        <v>0.37200000000000011</v>
      </c>
      <c r="T73" s="1">
        <v>0.30599999999999999</v>
      </c>
      <c r="U73">
        <v>9597</v>
      </c>
      <c r="V73" s="1">
        <v>9.4E-2</v>
      </c>
      <c r="W73">
        <v>2604</v>
      </c>
      <c r="X73" s="1">
        <v>0.54100000000000004</v>
      </c>
      <c r="Y73" s="1">
        <f>(O73-P73)/O73</f>
        <v>9.8356861837537612E-2</v>
      </c>
      <c r="Z73" s="2">
        <f>P73/M73</f>
        <v>1.9211992701809755</v>
      </c>
    </row>
    <row r="74" spans="1:26" x14ac:dyDescent="0.45">
      <c r="A74" t="s">
        <v>176</v>
      </c>
      <c r="B74" t="s">
        <v>177</v>
      </c>
      <c r="C74" t="s">
        <v>171</v>
      </c>
      <c r="D74" t="s">
        <v>29</v>
      </c>
      <c r="E74" t="s">
        <v>30</v>
      </c>
      <c r="F74">
        <v>432</v>
      </c>
      <c r="G74">
        <v>221581</v>
      </c>
      <c r="H74" s="1">
        <v>0.09</v>
      </c>
      <c r="I74">
        <v>431</v>
      </c>
      <c r="J74">
        <v>43803</v>
      </c>
      <c r="K74" s="10">
        <v>0.46899999999999997</v>
      </c>
      <c r="L74">
        <v>11</v>
      </c>
      <c r="M74">
        <v>101395</v>
      </c>
      <c r="O74">
        <v>216050</v>
      </c>
      <c r="P74">
        <v>194800</v>
      </c>
      <c r="Q74" s="1">
        <v>0.20200000000000001</v>
      </c>
      <c r="R74" s="1">
        <v>0.2</v>
      </c>
      <c r="S74" s="1">
        <v>0.37200000000000011</v>
      </c>
      <c r="T74" s="1">
        <v>0.30599999999999999</v>
      </c>
      <c r="U74">
        <v>9597</v>
      </c>
      <c r="V74" s="1">
        <v>9.4E-2</v>
      </c>
      <c r="W74">
        <v>2604</v>
      </c>
      <c r="X74" s="1">
        <v>0.54100000000000004</v>
      </c>
      <c r="Y74" s="1">
        <f>(O74-P74)/O74</f>
        <v>9.8356861837537612E-2</v>
      </c>
      <c r="Z74" s="2">
        <f>P74/M74</f>
        <v>1.9211992701809755</v>
      </c>
    </row>
    <row r="75" spans="1:26" x14ac:dyDescent="0.45">
      <c r="A75" t="s">
        <v>218</v>
      </c>
      <c r="B75" t="s">
        <v>219</v>
      </c>
      <c r="C75" t="s">
        <v>220</v>
      </c>
      <c r="D75" t="s">
        <v>60</v>
      </c>
      <c r="E75" t="s">
        <v>30</v>
      </c>
      <c r="F75">
        <v>360</v>
      </c>
      <c r="G75">
        <v>235261</v>
      </c>
      <c r="H75" s="1">
        <v>0.111</v>
      </c>
      <c r="I75">
        <v>893</v>
      </c>
      <c r="J75">
        <v>33069</v>
      </c>
      <c r="K75" s="10">
        <v>0.39900000000000002</v>
      </c>
      <c r="L75">
        <v>12</v>
      </c>
      <c r="M75">
        <v>91857</v>
      </c>
      <c r="O75">
        <v>230353</v>
      </c>
      <c r="P75">
        <v>210193</v>
      </c>
      <c r="Q75" s="1">
        <v>0.23200000000000001</v>
      </c>
      <c r="R75" s="1">
        <v>0.2</v>
      </c>
      <c r="S75" s="1">
        <v>0.41699999999999998</v>
      </c>
      <c r="T75" s="1">
        <v>0.36</v>
      </c>
      <c r="U75">
        <v>13056</v>
      </c>
      <c r="V75" s="1">
        <v>0.157</v>
      </c>
      <c r="W75">
        <v>3540</v>
      </c>
      <c r="X75" s="1">
        <v>0.188</v>
      </c>
      <c r="Y75" s="1">
        <f>(O75-P75)/O75</f>
        <v>8.7517853034256118E-2</v>
      </c>
      <c r="Z75" s="2">
        <f>P75/M75</f>
        <v>2.2882632787920354</v>
      </c>
    </row>
    <row r="76" spans="1:26" x14ac:dyDescent="0.45">
      <c r="A76" t="s">
        <v>235</v>
      </c>
      <c r="B76" t="s">
        <v>219</v>
      </c>
      <c r="C76" t="s">
        <v>233</v>
      </c>
      <c r="D76" t="s">
        <v>60</v>
      </c>
      <c r="E76" t="s">
        <v>30</v>
      </c>
      <c r="F76">
        <v>360</v>
      </c>
      <c r="G76">
        <v>235206</v>
      </c>
      <c r="H76" s="1">
        <v>0.111</v>
      </c>
      <c r="I76">
        <v>893</v>
      </c>
      <c r="J76">
        <v>33069</v>
      </c>
      <c r="K76" s="10">
        <v>0.39900000000000002</v>
      </c>
      <c r="L76">
        <v>12</v>
      </c>
      <c r="M76">
        <v>91857</v>
      </c>
      <c r="O76">
        <v>230288</v>
      </c>
      <c r="P76">
        <v>210142</v>
      </c>
      <c r="Q76" s="1">
        <v>0.23200000000000001</v>
      </c>
      <c r="R76" s="1">
        <v>0.2</v>
      </c>
      <c r="S76" s="1">
        <v>0.41699999999999998</v>
      </c>
      <c r="T76" s="1">
        <v>0.36</v>
      </c>
      <c r="U76">
        <v>13044</v>
      </c>
      <c r="V76" s="1">
        <v>0.157</v>
      </c>
      <c r="W76">
        <v>3539</v>
      </c>
      <c r="X76" s="1">
        <v>0.189</v>
      </c>
      <c r="Y76" s="1">
        <f>(O76-P76)/O76</f>
        <v>8.7481761967623153E-2</v>
      </c>
      <c r="Z76" s="2">
        <f>P76/M76</f>
        <v>2.2877080679752222</v>
      </c>
    </row>
    <row r="77" spans="1:26" x14ac:dyDescent="0.45">
      <c r="A77" t="s">
        <v>353</v>
      </c>
      <c r="B77" t="s">
        <v>219</v>
      </c>
      <c r="C77" t="s">
        <v>352</v>
      </c>
      <c r="D77" t="s">
        <v>34</v>
      </c>
      <c r="E77" t="s">
        <v>30</v>
      </c>
      <c r="F77">
        <v>360</v>
      </c>
      <c r="G77">
        <v>245722</v>
      </c>
      <c r="H77" s="1">
        <v>0.115</v>
      </c>
      <c r="I77">
        <v>889</v>
      </c>
      <c r="J77">
        <v>33320</v>
      </c>
      <c r="K77" s="10">
        <v>0.39700000000000002</v>
      </c>
      <c r="L77">
        <v>13</v>
      </c>
      <c r="M77">
        <v>92555</v>
      </c>
      <c r="O77">
        <v>233215</v>
      </c>
      <c r="P77">
        <v>212569</v>
      </c>
      <c r="Q77" s="1">
        <v>0.251</v>
      </c>
      <c r="R77" s="1">
        <v>0.2</v>
      </c>
      <c r="S77" s="1">
        <v>0.42599999999999999</v>
      </c>
      <c r="T77" s="1">
        <v>0.37</v>
      </c>
      <c r="U77">
        <v>7630</v>
      </c>
      <c r="V77" s="1">
        <v>9.1999999999999998E-2</v>
      </c>
      <c r="W77">
        <v>3574</v>
      </c>
      <c r="X77" s="1">
        <v>0.182</v>
      </c>
      <c r="Y77" s="1">
        <f>(O77-P77)/O77</f>
        <v>8.8527753360632899E-2</v>
      </c>
      <c r="Z77" s="2">
        <f>P77/M77</f>
        <v>2.2966776511263571</v>
      </c>
    </row>
    <row r="78" spans="1:26" x14ac:dyDescent="0.45">
      <c r="A78" t="s">
        <v>353</v>
      </c>
      <c r="B78" t="s">
        <v>219</v>
      </c>
      <c r="C78" t="s">
        <v>352</v>
      </c>
      <c r="D78" t="s">
        <v>34</v>
      </c>
      <c r="E78" t="s">
        <v>35</v>
      </c>
      <c r="F78">
        <v>360</v>
      </c>
      <c r="G78">
        <v>245722</v>
      </c>
      <c r="H78" s="1">
        <v>0.115</v>
      </c>
      <c r="I78">
        <v>894</v>
      </c>
      <c r="J78">
        <v>38272</v>
      </c>
      <c r="K78" s="10">
        <v>0.45300000000000001</v>
      </c>
      <c r="L78">
        <v>17</v>
      </c>
      <c r="M78">
        <v>106310</v>
      </c>
      <c r="O78">
        <v>234772</v>
      </c>
      <c r="P78">
        <v>226882</v>
      </c>
      <c r="Q78" s="1">
        <v>0.19800000000000001</v>
      </c>
      <c r="R78" s="1">
        <v>0.2</v>
      </c>
      <c r="S78" s="1">
        <v>0.35499999999999998</v>
      </c>
      <c r="T78" s="1">
        <v>0.33200000000000002</v>
      </c>
      <c r="U78">
        <v>5871</v>
      </c>
      <c r="V78" s="1">
        <v>7.0000000000000007E-2</v>
      </c>
      <c r="W78">
        <v>3574</v>
      </c>
      <c r="X78" s="1">
        <v>0.182</v>
      </c>
      <c r="Y78" s="1">
        <f>(O78-P78)/O78</f>
        <v>3.3607074097422182E-2</v>
      </c>
      <c r="Z78" s="2">
        <f>P78/M78</f>
        <v>2.1341548302135265</v>
      </c>
    </row>
    <row r="79" spans="1:26" x14ac:dyDescent="0.45">
      <c r="A79" t="s">
        <v>348</v>
      </c>
      <c r="B79" t="s">
        <v>349</v>
      </c>
      <c r="C79" t="s">
        <v>343</v>
      </c>
      <c r="D79" t="s">
        <v>204</v>
      </c>
      <c r="E79" t="s">
        <v>30</v>
      </c>
      <c r="F79">
        <v>520</v>
      </c>
      <c r="G79">
        <v>190835</v>
      </c>
      <c r="H79" s="1">
        <v>7.2999999999999995E-2</v>
      </c>
      <c r="I79">
        <v>516</v>
      </c>
      <c r="J79">
        <v>45122</v>
      </c>
      <c r="K79" s="10">
        <v>0.435</v>
      </c>
      <c r="L79">
        <v>14</v>
      </c>
      <c r="M79">
        <v>86773</v>
      </c>
      <c r="O79">
        <v>199568</v>
      </c>
      <c r="P79">
        <v>175120</v>
      </c>
      <c r="Q79" s="1">
        <v>0.216</v>
      </c>
      <c r="R79" s="1">
        <v>0.2</v>
      </c>
      <c r="S79" s="1">
        <v>0.433</v>
      </c>
      <c r="T79" s="1">
        <v>0.34599999999999997</v>
      </c>
      <c r="U79">
        <v>14098</v>
      </c>
      <c r="V79" s="1">
        <v>0.13600000000000001</v>
      </c>
      <c r="W79">
        <v>2516</v>
      </c>
      <c r="X79" s="1">
        <v>0.75</v>
      </c>
      <c r="Y79" s="1">
        <f>(O79-P79)/O79</f>
        <v>0.12250460995750821</v>
      </c>
      <c r="Z79" s="2">
        <f>P79/M79</f>
        <v>2.01813928295668</v>
      </c>
    </row>
    <row r="80" spans="1:26" x14ac:dyDescent="0.45">
      <c r="A80" t="s">
        <v>348</v>
      </c>
      <c r="B80" t="s">
        <v>349</v>
      </c>
      <c r="C80" t="s">
        <v>343</v>
      </c>
      <c r="D80" t="s">
        <v>204</v>
      </c>
      <c r="E80" t="s">
        <v>35</v>
      </c>
      <c r="F80">
        <v>520</v>
      </c>
      <c r="G80">
        <v>190835</v>
      </c>
      <c r="H80" s="1">
        <v>7.2999999999999995E-2</v>
      </c>
      <c r="I80">
        <v>521</v>
      </c>
      <c r="J80">
        <v>44921</v>
      </c>
      <c r="K80" s="10">
        <v>0.42799999999999999</v>
      </c>
      <c r="L80">
        <v>14</v>
      </c>
      <c r="M80">
        <v>86387</v>
      </c>
      <c r="O80">
        <v>201768</v>
      </c>
      <c r="P80">
        <v>177319</v>
      </c>
      <c r="Q80" s="1">
        <v>0.219</v>
      </c>
      <c r="R80" s="1">
        <v>0.2</v>
      </c>
      <c r="S80" s="1">
        <v>0.434</v>
      </c>
      <c r="T80" s="1">
        <v>0.34799999999999998</v>
      </c>
      <c r="U80">
        <v>11929</v>
      </c>
      <c r="V80" s="1">
        <v>0.113</v>
      </c>
      <c r="W80">
        <v>2516</v>
      </c>
      <c r="X80" s="1">
        <v>0.75</v>
      </c>
      <c r="Y80" s="1">
        <f>(O80-P80)/O80</f>
        <v>0.12117382340113397</v>
      </c>
      <c r="Z80" s="2">
        <f>P80/M80</f>
        <v>2.052612082836538</v>
      </c>
    </row>
    <row r="81" spans="1:26" x14ac:dyDescent="0.45">
      <c r="A81" t="s">
        <v>417</v>
      </c>
      <c r="B81" t="s">
        <v>349</v>
      </c>
      <c r="C81" t="s">
        <v>418</v>
      </c>
      <c r="D81" t="s">
        <v>204</v>
      </c>
      <c r="E81" t="s">
        <v>30</v>
      </c>
      <c r="F81">
        <v>520</v>
      </c>
      <c r="G81">
        <v>190835</v>
      </c>
      <c r="H81" s="1">
        <v>7.2999999999999995E-2</v>
      </c>
      <c r="I81">
        <v>535</v>
      </c>
      <c r="J81">
        <v>46103</v>
      </c>
      <c r="K81" s="10">
        <v>0.42799999999999999</v>
      </c>
      <c r="L81">
        <v>14</v>
      </c>
      <c r="M81">
        <v>88659</v>
      </c>
      <c r="O81">
        <v>207128</v>
      </c>
      <c r="P81">
        <v>178860</v>
      </c>
      <c r="Q81" s="5">
        <v>0.25700000000000001</v>
      </c>
      <c r="R81" s="1">
        <v>0.22</v>
      </c>
      <c r="S81" s="1">
        <v>0.442</v>
      </c>
      <c r="T81" s="1">
        <v>0.34300000000000003</v>
      </c>
      <c r="U81">
        <v>12020</v>
      </c>
      <c r="V81" s="1">
        <v>0.111</v>
      </c>
      <c r="W81">
        <v>2516</v>
      </c>
      <c r="X81" s="1">
        <v>0.69200000000000006</v>
      </c>
      <c r="Y81" s="1">
        <f>(O81-P81)/O81</f>
        <v>0.13647599551967865</v>
      </c>
      <c r="Z81" s="2">
        <f>P81/M81</f>
        <v>2.0173924813047743</v>
      </c>
    </row>
    <row r="82" spans="1:26" x14ac:dyDescent="0.45">
      <c r="A82" t="s">
        <v>417</v>
      </c>
      <c r="B82" t="s">
        <v>349</v>
      </c>
      <c r="C82" t="s">
        <v>418</v>
      </c>
      <c r="D82" t="s">
        <v>204</v>
      </c>
      <c r="E82" t="s">
        <v>35</v>
      </c>
      <c r="F82">
        <v>520</v>
      </c>
      <c r="G82">
        <v>190835</v>
      </c>
      <c r="H82" s="1">
        <v>7.2999999999999995E-2</v>
      </c>
      <c r="I82">
        <v>537</v>
      </c>
      <c r="J82">
        <v>46461</v>
      </c>
      <c r="K82" s="10">
        <v>0.43</v>
      </c>
      <c r="L82">
        <v>14</v>
      </c>
      <c r="M82">
        <v>89349</v>
      </c>
      <c r="O82">
        <v>207676</v>
      </c>
      <c r="P82">
        <v>179635</v>
      </c>
      <c r="Q82" s="5">
        <v>0.253</v>
      </c>
      <c r="R82" s="1">
        <v>0.22</v>
      </c>
      <c r="S82" s="1">
        <v>0.436</v>
      </c>
      <c r="T82" s="1">
        <v>0.33600000000000002</v>
      </c>
      <c r="U82">
        <v>10704</v>
      </c>
      <c r="V82" s="1">
        <v>9.8000000000000004E-2</v>
      </c>
      <c r="W82">
        <v>2516</v>
      </c>
      <c r="X82" s="1">
        <v>0.69200000000000006</v>
      </c>
      <c r="Y82" s="1">
        <f>(O82-P82)/O82</f>
        <v>0.13502282401433002</v>
      </c>
      <c r="Z82" s="2">
        <f>P82/M82</f>
        <v>2.0104869668379055</v>
      </c>
    </row>
    <row r="83" spans="1:26" x14ac:dyDescent="0.45">
      <c r="A83" t="s">
        <v>197</v>
      </c>
      <c r="B83" t="s">
        <v>198</v>
      </c>
      <c r="C83" t="s">
        <v>199</v>
      </c>
      <c r="D83" t="s">
        <v>200</v>
      </c>
      <c r="E83" t="s">
        <v>30</v>
      </c>
      <c r="F83">
        <v>493</v>
      </c>
      <c r="G83">
        <v>203970</v>
      </c>
      <c r="H83" s="1">
        <v>0.09</v>
      </c>
      <c r="I83">
        <v>745</v>
      </c>
      <c r="J83">
        <v>41470</v>
      </c>
      <c r="K83" s="10">
        <v>0.40200000000000002</v>
      </c>
      <c r="L83">
        <v>13</v>
      </c>
      <c r="M83">
        <v>84118</v>
      </c>
      <c r="O83">
        <v>208998</v>
      </c>
      <c r="P83">
        <v>185707</v>
      </c>
      <c r="Q83" s="1">
        <v>0.20300000000000001</v>
      </c>
      <c r="R83" s="1">
        <v>0.2</v>
      </c>
      <c r="S83" s="1">
        <v>0.41399999999999998</v>
      </c>
      <c r="T83" s="1">
        <v>0.33400000000000002</v>
      </c>
      <c r="U83">
        <v>18069</v>
      </c>
      <c r="V83" s="1">
        <v>0.17499999999999999</v>
      </c>
      <c r="W83">
        <v>2745</v>
      </c>
      <c r="X83" s="1">
        <v>0.67799999999999994</v>
      </c>
      <c r="Y83" s="1">
        <f>(O83-P83)/O83</f>
        <v>0.11144125781107954</v>
      </c>
      <c r="Z83" s="2">
        <f>P83/M83</f>
        <v>2.2076963313440645</v>
      </c>
    </row>
    <row r="84" spans="1:26" x14ac:dyDescent="0.45">
      <c r="A84" t="s">
        <v>197</v>
      </c>
      <c r="B84" t="s">
        <v>198</v>
      </c>
      <c r="C84" t="s">
        <v>199</v>
      </c>
      <c r="D84" t="s">
        <v>200</v>
      </c>
      <c r="E84" t="s">
        <v>35</v>
      </c>
      <c r="F84">
        <v>493</v>
      </c>
      <c r="G84">
        <v>203970</v>
      </c>
      <c r="H84" s="1">
        <v>0.09</v>
      </c>
      <c r="I84">
        <v>745</v>
      </c>
      <c r="J84">
        <v>42117</v>
      </c>
      <c r="K84" s="10">
        <v>0.40699999999999997</v>
      </c>
      <c r="L84">
        <v>13</v>
      </c>
      <c r="M84">
        <v>85430</v>
      </c>
      <c r="O84">
        <v>209800</v>
      </c>
      <c r="P84">
        <v>186510</v>
      </c>
      <c r="Q84" s="1">
        <v>0.19600000000000001</v>
      </c>
      <c r="R84" s="1">
        <v>0.2</v>
      </c>
      <c r="S84" s="1">
        <v>0.40799999999999997</v>
      </c>
      <c r="T84" s="1">
        <v>0.32700000000000001</v>
      </c>
      <c r="U84">
        <v>17520</v>
      </c>
      <c r="V84" s="1">
        <v>0.16900000000000001</v>
      </c>
      <c r="W84">
        <v>2745</v>
      </c>
      <c r="X84" s="1">
        <v>0.67799999999999994</v>
      </c>
      <c r="Y84" s="1">
        <f>(O84-P84)/O84</f>
        <v>0.11101048617731173</v>
      </c>
      <c r="Z84" s="2">
        <f>P84/M84</f>
        <v>2.1831909165398571</v>
      </c>
    </row>
    <row r="85" spans="1:26" x14ac:dyDescent="0.45">
      <c r="A85" t="s">
        <v>45</v>
      </c>
      <c r="B85" t="s">
        <v>46</v>
      </c>
      <c r="C85" t="s">
        <v>47</v>
      </c>
      <c r="D85" t="s">
        <v>34</v>
      </c>
      <c r="E85" t="s">
        <v>30</v>
      </c>
      <c r="F85">
        <v>376</v>
      </c>
      <c r="G85">
        <v>197323</v>
      </c>
      <c r="H85" s="1">
        <v>7.6700000000000004E-2</v>
      </c>
      <c r="I85">
        <v>405</v>
      </c>
      <c r="J85">
        <v>34007</v>
      </c>
      <c r="K85" s="10">
        <v>0.435</v>
      </c>
      <c r="L85">
        <v>12</v>
      </c>
      <c r="M85">
        <v>89992</v>
      </c>
      <c r="O85">
        <v>208033</v>
      </c>
      <c r="P85">
        <v>179700</v>
      </c>
      <c r="Q85" s="1">
        <v>0.22600000000000001</v>
      </c>
      <c r="R85" s="1">
        <v>0.2</v>
      </c>
      <c r="S85" s="1">
        <v>0.38300000000000001</v>
      </c>
      <c r="T85" s="1">
        <v>0.32500000000000001</v>
      </c>
      <c r="U85">
        <v>9595</v>
      </c>
      <c r="V85" s="1">
        <v>0.122</v>
      </c>
      <c r="W85">
        <v>2347</v>
      </c>
      <c r="X85" s="1">
        <v>0.75</v>
      </c>
      <c r="Y85" s="1">
        <f>(O85-P85)/O85</f>
        <v>0.13619473833478343</v>
      </c>
      <c r="Z85" s="2">
        <f>P85/M85</f>
        <v>1.9968441639256822</v>
      </c>
    </row>
    <row r="86" spans="1:26" x14ac:dyDescent="0.45">
      <c r="A86" t="s">
        <v>45</v>
      </c>
      <c r="B86" t="s">
        <v>46</v>
      </c>
      <c r="C86" t="s">
        <v>47</v>
      </c>
      <c r="D86" t="s">
        <v>34</v>
      </c>
      <c r="E86" t="s">
        <v>30</v>
      </c>
      <c r="F86">
        <v>376</v>
      </c>
      <c r="G86">
        <v>197323</v>
      </c>
      <c r="H86" s="1">
        <v>7.6399999999999996E-2</v>
      </c>
      <c r="I86">
        <v>0</v>
      </c>
      <c r="J86">
        <v>34007</v>
      </c>
      <c r="K86" s="10">
        <v>0.436</v>
      </c>
      <c r="L86">
        <v>12</v>
      </c>
      <c r="M86">
        <v>89992</v>
      </c>
      <c r="O86">
        <v>207281</v>
      </c>
      <c r="P86">
        <v>178948</v>
      </c>
      <c r="Q86" s="1">
        <v>0.224</v>
      </c>
      <c r="R86" s="1">
        <v>0.2</v>
      </c>
      <c r="S86" s="1">
        <v>0.38300000000000001</v>
      </c>
      <c r="T86" s="1">
        <v>0.32500000000000001</v>
      </c>
      <c r="U86">
        <v>10763</v>
      </c>
      <c r="V86" s="1">
        <v>0.13800000000000001</v>
      </c>
      <c r="W86">
        <v>2347</v>
      </c>
      <c r="X86" s="1">
        <v>0.75</v>
      </c>
      <c r="Y86" s="1">
        <f>(O86-P86)/O86</f>
        <v>0.13668884268215611</v>
      </c>
      <c r="Z86" s="2">
        <f>P86/M86</f>
        <v>1.9884878655880522</v>
      </c>
    </row>
    <row r="87" spans="1:26" x14ac:dyDescent="0.45">
      <c r="A87" t="s">
        <v>248</v>
      </c>
      <c r="B87" t="s">
        <v>249</v>
      </c>
      <c r="C87" t="s">
        <v>250</v>
      </c>
      <c r="D87" t="s">
        <v>60</v>
      </c>
      <c r="E87" t="s">
        <v>30</v>
      </c>
      <c r="F87">
        <v>451</v>
      </c>
      <c r="G87">
        <v>191417</v>
      </c>
      <c r="H87" s="1">
        <v>8.5000000000000006E-2</v>
      </c>
      <c r="I87">
        <v>539</v>
      </c>
      <c r="J87">
        <v>39914</v>
      </c>
      <c r="K87" s="10">
        <v>0.42199999999999999</v>
      </c>
      <c r="L87">
        <v>15</v>
      </c>
      <c r="M87">
        <v>88500</v>
      </c>
      <c r="O87">
        <v>209704</v>
      </c>
      <c r="P87">
        <v>183476</v>
      </c>
      <c r="Q87" s="1">
        <v>0.24</v>
      </c>
      <c r="R87" s="1">
        <v>0.2</v>
      </c>
      <c r="S87" s="1">
        <v>0.433</v>
      </c>
      <c r="T87" s="1">
        <v>0.34399999999999997</v>
      </c>
      <c r="U87">
        <v>8732</v>
      </c>
      <c r="V87" s="1">
        <v>9.3000000000000013E-2</v>
      </c>
      <c r="W87">
        <v>2780</v>
      </c>
      <c r="X87" s="1">
        <v>0.60899999999999999</v>
      </c>
      <c r="Y87" s="1">
        <f>(O87-P87)/O87</f>
        <v>0.12507152939381222</v>
      </c>
      <c r="Z87" s="2">
        <f>P87/M87</f>
        <v>2.0731751412429378</v>
      </c>
    </row>
    <row r="88" spans="1:26" x14ac:dyDescent="0.45">
      <c r="A88" t="s">
        <v>280</v>
      </c>
      <c r="B88" t="s">
        <v>249</v>
      </c>
      <c r="C88" t="s">
        <v>281</v>
      </c>
      <c r="D88" t="s">
        <v>34</v>
      </c>
      <c r="E88" t="s">
        <v>30</v>
      </c>
      <c r="F88">
        <v>451</v>
      </c>
      <c r="G88">
        <v>191417</v>
      </c>
      <c r="H88" s="1">
        <v>8.5000000000000006E-2</v>
      </c>
      <c r="I88">
        <v>547</v>
      </c>
      <c r="J88">
        <v>39399</v>
      </c>
      <c r="K88" s="10">
        <v>0.41099999999999998</v>
      </c>
      <c r="L88">
        <v>18</v>
      </c>
      <c r="M88">
        <v>87360</v>
      </c>
      <c r="O88">
        <v>212750</v>
      </c>
      <c r="P88">
        <v>186523</v>
      </c>
      <c r="Q88" s="1">
        <v>0.248</v>
      </c>
      <c r="R88" s="1">
        <v>0.2</v>
      </c>
      <c r="S88" s="1">
        <v>0.44400000000000001</v>
      </c>
      <c r="T88" s="1">
        <v>0.35599999999999998</v>
      </c>
      <c r="U88">
        <v>7918</v>
      </c>
      <c r="V88" s="1">
        <v>8.3000000000000004E-2</v>
      </c>
      <c r="W88">
        <v>2780</v>
      </c>
      <c r="X88" s="1">
        <v>0.60899999999999999</v>
      </c>
      <c r="Y88" s="1">
        <f>(O88-P88)/O88</f>
        <v>0.12327614571092832</v>
      </c>
      <c r="Z88" s="2">
        <f>P88/M88</f>
        <v>2.1351076007326006</v>
      </c>
    </row>
    <row r="89" spans="1:26" x14ac:dyDescent="0.45">
      <c r="A89" t="s">
        <v>280</v>
      </c>
      <c r="B89" t="s">
        <v>249</v>
      </c>
      <c r="C89" t="s">
        <v>281</v>
      </c>
      <c r="D89" t="s">
        <v>34</v>
      </c>
      <c r="E89" t="s">
        <v>30</v>
      </c>
      <c r="F89">
        <v>451</v>
      </c>
      <c r="G89">
        <v>191417</v>
      </c>
      <c r="H89" s="1">
        <v>8.5000000000000006E-2</v>
      </c>
      <c r="I89">
        <v>544</v>
      </c>
      <c r="J89">
        <v>39399</v>
      </c>
      <c r="K89" s="10">
        <v>0.41299999999999998</v>
      </c>
      <c r="L89">
        <v>18</v>
      </c>
      <c r="M89">
        <v>87360</v>
      </c>
      <c r="O89">
        <v>211735</v>
      </c>
      <c r="P89">
        <v>185507</v>
      </c>
      <c r="Q89" s="1">
        <v>0.246</v>
      </c>
      <c r="R89" s="1">
        <v>0.2</v>
      </c>
      <c r="S89" s="1">
        <v>0.44299999999999989</v>
      </c>
      <c r="T89" s="1">
        <v>0.35599999999999998</v>
      </c>
      <c r="U89">
        <v>8686</v>
      </c>
      <c r="V89" s="1">
        <v>9.0999999999999998E-2</v>
      </c>
      <c r="W89">
        <v>2780</v>
      </c>
      <c r="X89" s="1">
        <v>0.60899999999999999</v>
      </c>
      <c r="Y89" s="1">
        <f>(O89-P89)/O89</f>
        <v>0.12387182090821074</v>
      </c>
      <c r="Z89" s="2">
        <f>P89/M89</f>
        <v>2.1234775641025641</v>
      </c>
    </row>
    <row r="90" spans="1:26" x14ac:dyDescent="0.45">
      <c r="A90" t="s">
        <v>280</v>
      </c>
      <c r="B90" t="s">
        <v>249</v>
      </c>
      <c r="C90" t="s">
        <v>281</v>
      </c>
      <c r="D90" t="s">
        <v>34</v>
      </c>
      <c r="E90" t="s">
        <v>30</v>
      </c>
      <c r="F90">
        <v>451</v>
      </c>
      <c r="G90">
        <v>191417</v>
      </c>
      <c r="H90">
        <v>8.5000000000000006E-2</v>
      </c>
      <c r="I90">
        <v>544</v>
      </c>
      <c r="J90">
        <v>39399</v>
      </c>
      <c r="K90" s="10">
        <v>0.41099999999999998</v>
      </c>
      <c r="L90">
        <v>18</v>
      </c>
      <c r="M90">
        <v>87360</v>
      </c>
      <c r="O90">
        <v>212750</v>
      </c>
      <c r="P90">
        <v>186523</v>
      </c>
      <c r="Q90">
        <v>0.248</v>
      </c>
      <c r="R90">
        <v>0.2</v>
      </c>
      <c r="S90">
        <v>0.44400000000000001</v>
      </c>
      <c r="T90">
        <v>0.35599999999999998</v>
      </c>
      <c r="U90">
        <v>7918</v>
      </c>
      <c r="V90">
        <v>8.3000000000000004E-2</v>
      </c>
      <c r="W90">
        <v>2780</v>
      </c>
      <c r="X90">
        <v>0.60899999999999999</v>
      </c>
      <c r="Y90" s="1">
        <f>(O90-P90)/O90</f>
        <v>0.12327614571092832</v>
      </c>
      <c r="Z90" s="2">
        <f>P90/M90</f>
        <v>2.1351076007326006</v>
      </c>
    </row>
    <row r="91" spans="1:26" x14ac:dyDescent="0.45">
      <c r="A91" t="s">
        <v>290</v>
      </c>
      <c r="B91" t="s">
        <v>291</v>
      </c>
      <c r="C91" t="s">
        <v>292</v>
      </c>
      <c r="D91" t="s">
        <v>204</v>
      </c>
      <c r="E91" t="s">
        <v>293</v>
      </c>
      <c r="F91">
        <v>501</v>
      </c>
      <c r="G91">
        <v>223600</v>
      </c>
      <c r="H91" s="1">
        <v>0.108</v>
      </c>
      <c r="I91">
        <v>1865</v>
      </c>
      <c r="J91">
        <v>48155</v>
      </c>
      <c r="K91" s="10">
        <v>0.40500000000000003</v>
      </c>
      <c r="L91">
        <v>23</v>
      </c>
      <c r="M91">
        <v>96118</v>
      </c>
      <c r="O91">
        <v>237507</v>
      </c>
      <c r="P91">
        <v>217323</v>
      </c>
      <c r="Q91" s="1">
        <v>0.189</v>
      </c>
      <c r="R91" s="1">
        <v>0.2</v>
      </c>
      <c r="S91" s="1">
        <v>0.39700000000000002</v>
      </c>
      <c r="T91" s="1">
        <v>0.33300000000000002</v>
      </c>
      <c r="U91">
        <v>11489</v>
      </c>
      <c r="V91" s="1">
        <v>9.8000000000000004E-2</v>
      </c>
      <c r="W91">
        <v>3595</v>
      </c>
      <c r="X91" s="1">
        <v>0.17899999999999999</v>
      </c>
      <c r="Y91" s="1">
        <f>(O91-P91)/O91</f>
        <v>8.4982758402910225E-2</v>
      </c>
      <c r="Z91" s="2">
        <f>P91/M91</f>
        <v>2.2610021015834705</v>
      </c>
    </row>
    <row r="92" spans="1:26" x14ac:dyDescent="0.45">
      <c r="A92" t="s">
        <v>290</v>
      </c>
      <c r="B92" t="s">
        <v>291</v>
      </c>
      <c r="C92" t="s">
        <v>292</v>
      </c>
      <c r="D92" t="s">
        <v>204</v>
      </c>
      <c r="E92" t="s">
        <v>293</v>
      </c>
      <c r="F92">
        <v>501</v>
      </c>
      <c r="G92">
        <v>223600</v>
      </c>
      <c r="H92" s="1">
        <v>0.108</v>
      </c>
      <c r="I92">
        <v>1865</v>
      </c>
      <c r="J92">
        <v>49101</v>
      </c>
      <c r="K92" s="10">
        <v>0.41299999999999998</v>
      </c>
      <c r="L92">
        <v>23</v>
      </c>
      <c r="M92">
        <v>98005</v>
      </c>
      <c r="O92">
        <v>237507</v>
      </c>
      <c r="P92">
        <v>217323</v>
      </c>
      <c r="Q92" s="1">
        <v>0.17899999999999999</v>
      </c>
      <c r="R92" s="1">
        <v>0.2</v>
      </c>
      <c r="S92" s="1">
        <v>0.38800000000000001</v>
      </c>
      <c r="T92" s="1">
        <v>0.32300000000000001</v>
      </c>
      <c r="U92">
        <v>11742</v>
      </c>
      <c r="V92" s="1">
        <v>0.1</v>
      </c>
      <c r="W92">
        <v>3595</v>
      </c>
      <c r="X92" s="1">
        <v>0.17899999999999999</v>
      </c>
      <c r="Y92" s="1">
        <f>(O92-P92)/O92</f>
        <v>8.4982758402910225E-2</v>
      </c>
      <c r="Z92" s="2">
        <f>P92/M92</f>
        <v>2.2174684965052802</v>
      </c>
    </row>
    <row r="93" spans="1:26" x14ac:dyDescent="0.45">
      <c r="A93" t="s">
        <v>294</v>
      </c>
      <c r="B93" t="s">
        <v>291</v>
      </c>
      <c r="C93" t="s">
        <v>292</v>
      </c>
      <c r="D93" t="s">
        <v>204</v>
      </c>
      <c r="E93" t="s">
        <v>30</v>
      </c>
      <c r="F93">
        <v>501</v>
      </c>
      <c r="G93">
        <v>229186</v>
      </c>
      <c r="H93" s="1">
        <v>0.106</v>
      </c>
      <c r="I93">
        <v>1865</v>
      </c>
      <c r="J93">
        <v>48155</v>
      </c>
      <c r="K93" s="10">
        <v>0.39800000000000002</v>
      </c>
      <c r="L93">
        <v>23</v>
      </c>
      <c r="M93">
        <v>96118</v>
      </c>
      <c r="O93">
        <v>241376</v>
      </c>
      <c r="P93">
        <v>221191</v>
      </c>
      <c r="Q93" s="1">
        <v>0.2</v>
      </c>
      <c r="R93" s="1">
        <v>0.2</v>
      </c>
      <c r="S93" s="1">
        <v>0.40699999999999997</v>
      </c>
      <c r="T93" s="1">
        <v>0.34499999999999997</v>
      </c>
      <c r="U93">
        <v>11432</v>
      </c>
      <c r="V93" s="1">
        <v>9.6000000000000002E-2</v>
      </c>
      <c r="W93">
        <v>3595</v>
      </c>
      <c r="X93" s="1">
        <v>0.17899999999999999</v>
      </c>
      <c r="Y93" s="1">
        <f>(O93-P93)/O93</f>
        <v>8.3624718281850724E-2</v>
      </c>
      <c r="Z93" s="2">
        <f>P93/M93</f>
        <v>2.3012443038764854</v>
      </c>
    </row>
    <row r="94" spans="1:26" x14ac:dyDescent="0.45">
      <c r="A94" t="s">
        <v>294</v>
      </c>
      <c r="B94" t="s">
        <v>291</v>
      </c>
      <c r="C94" t="s">
        <v>292</v>
      </c>
      <c r="D94" t="s">
        <v>204</v>
      </c>
      <c r="E94" t="s">
        <v>35</v>
      </c>
      <c r="F94">
        <v>501</v>
      </c>
      <c r="G94">
        <v>229186</v>
      </c>
      <c r="H94" s="1">
        <v>0.106</v>
      </c>
      <c r="I94">
        <v>1865</v>
      </c>
      <c r="J94">
        <v>49101</v>
      </c>
      <c r="K94" s="10">
        <v>0.40600000000000003</v>
      </c>
      <c r="L94">
        <v>23</v>
      </c>
      <c r="M94">
        <v>98005</v>
      </c>
      <c r="O94">
        <v>241376</v>
      </c>
      <c r="P94">
        <v>221191</v>
      </c>
      <c r="Q94" s="1">
        <v>0.191</v>
      </c>
      <c r="R94" s="1">
        <v>0.2</v>
      </c>
      <c r="S94" s="1">
        <v>0.39800000000000002</v>
      </c>
      <c r="T94" s="1">
        <v>0.33500000000000002</v>
      </c>
      <c r="U94">
        <v>11685</v>
      </c>
      <c r="V94" s="1">
        <v>9.8000000000000004E-2</v>
      </c>
      <c r="W94">
        <v>3595</v>
      </c>
      <c r="X94" s="1">
        <v>0.17899999999999999</v>
      </c>
      <c r="Y94" s="1">
        <f>(O94-P94)/O94</f>
        <v>8.3624718281850724E-2</v>
      </c>
      <c r="Z94" s="2">
        <f>P94/M94</f>
        <v>2.2569358706188458</v>
      </c>
    </row>
    <row r="95" spans="1:26" x14ac:dyDescent="0.45">
      <c r="A95" t="s">
        <v>145</v>
      </c>
      <c r="B95" t="s">
        <v>146</v>
      </c>
      <c r="C95" t="s">
        <v>139</v>
      </c>
      <c r="D95" t="s">
        <v>29</v>
      </c>
      <c r="E95" t="s">
        <v>30</v>
      </c>
      <c r="F95">
        <v>390</v>
      </c>
      <c r="G95">
        <v>194421</v>
      </c>
      <c r="H95" s="1">
        <v>0.09</v>
      </c>
      <c r="I95">
        <v>473</v>
      </c>
      <c r="J95">
        <v>31902</v>
      </c>
      <c r="K95" s="10">
        <v>0.40799999999999997</v>
      </c>
      <c r="L95">
        <v>13</v>
      </c>
      <c r="M95">
        <v>81800</v>
      </c>
      <c r="O95">
        <v>200735</v>
      </c>
      <c r="P95">
        <v>176775</v>
      </c>
      <c r="Q95" s="1">
        <v>0.22900000000000001</v>
      </c>
      <c r="R95" s="1">
        <v>0.2</v>
      </c>
      <c r="S95" s="1">
        <v>0.43700000000000011</v>
      </c>
      <c r="T95" s="1">
        <v>0.35399999999999998</v>
      </c>
      <c r="U95">
        <v>13248</v>
      </c>
      <c r="V95" s="1">
        <v>0.156</v>
      </c>
      <c r="W95">
        <v>2889</v>
      </c>
      <c r="X95" s="1">
        <v>0.65500000000000003</v>
      </c>
      <c r="Y95" s="1">
        <f>(O95-P95)/O95</f>
        <v>0.11936134704959275</v>
      </c>
      <c r="Z95" s="2">
        <f>P95/M95</f>
        <v>2.1610635696821516</v>
      </c>
    </row>
    <row r="96" spans="1:26" x14ac:dyDescent="0.45">
      <c r="A96" t="s">
        <v>443</v>
      </c>
      <c r="B96" t="s">
        <v>444</v>
      </c>
      <c r="C96" t="s">
        <v>445</v>
      </c>
      <c r="D96" t="s">
        <v>267</v>
      </c>
      <c r="E96" t="s">
        <v>30</v>
      </c>
      <c r="F96">
        <v>565</v>
      </c>
      <c r="G96">
        <v>293504</v>
      </c>
      <c r="H96" s="1">
        <v>9.9000000000000005E-2</v>
      </c>
      <c r="I96" s="7">
        <v>4569</v>
      </c>
      <c r="J96">
        <v>59970</v>
      </c>
      <c r="K96" s="10">
        <v>0.377</v>
      </c>
      <c r="L96">
        <v>20</v>
      </c>
      <c r="M96">
        <v>106141</v>
      </c>
      <c r="O96">
        <v>281421</v>
      </c>
      <c r="P96">
        <v>248278</v>
      </c>
      <c r="Q96" s="1">
        <v>0.20399999999999999</v>
      </c>
      <c r="R96" s="1">
        <v>0.22</v>
      </c>
      <c r="S96" s="1">
        <v>0.435</v>
      </c>
      <c r="T96" s="1">
        <v>0.34699999999999998</v>
      </c>
      <c r="U96" s="7">
        <v>26756</v>
      </c>
      <c r="V96" s="1">
        <v>0.153</v>
      </c>
      <c r="W96">
        <v>4837</v>
      </c>
      <c r="X96" s="1">
        <v>0</v>
      </c>
      <c r="Y96" s="1">
        <f>(O96-P96)/O96</f>
        <v>0.11777017351228231</v>
      </c>
      <c r="Z96" s="2">
        <f>P96/M96</f>
        <v>2.3391337937272119</v>
      </c>
    </row>
    <row r="97" spans="1:26" x14ac:dyDescent="0.45">
      <c r="A97" t="s">
        <v>295</v>
      </c>
      <c r="B97" t="s">
        <v>296</v>
      </c>
      <c r="C97" t="s">
        <v>297</v>
      </c>
      <c r="D97" t="s">
        <v>29</v>
      </c>
      <c r="E97" t="s">
        <v>30</v>
      </c>
      <c r="F97">
        <v>394</v>
      </c>
      <c r="G97">
        <v>233883</v>
      </c>
      <c r="H97" s="1">
        <v>7.2000000000000008E-2</v>
      </c>
      <c r="I97">
        <v>1200</v>
      </c>
      <c r="J97">
        <v>39003</v>
      </c>
      <c r="K97" s="10">
        <v>0.41699999999999998</v>
      </c>
      <c r="L97">
        <v>17</v>
      </c>
      <c r="M97">
        <v>98992</v>
      </c>
      <c r="O97">
        <v>237240</v>
      </c>
      <c r="P97">
        <v>212937</v>
      </c>
      <c r="Q97" s="3">
        <v>0.2</v>
      </c>
      <c r="R97" s="3">
        <v>0.2</v>
      </c>
      <c r="S97" s="1">
        <v>0.42499999999999999</v>
      </c>
      <c r="T97" s="1">
        <v>0.35199999999999998</v>
      </c>
      <c r="U97">
        <v>15666</v>
      </c>
      <c r="V97" s="1">
        <v>0.16300000000000001</v>
      </c>
      <c r="W97">
        <v>3415</v>
      </c>
      <c r="X97" s="1">
        <v>0.189</v>
      </c>
      <c r="Y97" s="1">
        <f>(O97-P97)/O97</f>
        <v>0.1024405665149216</v>
      </c>
      <c r="Z97" s="2">
        <f>P97/M97</f>
        <v>2.1510526103119445</v>
      </c>
    </row>
    <row r="98" spans="1:26" x14ac:dyDescent="0.45">
      <c r="A98" t="s">
        <v>50</v>
      </c>
      <c r="B98" t="s">
        <v>51</v>
      </c>
      <c r="C98" t="s">
        <v>52</v>
      </c>
      <c r="D98" t="s">
        <v>34</v>
      </c>
      <c r="E98" t="s">
        <v>30</v>
      </c>
      <c r="F98">
        <v>286</v>
      </c>
      <c r="G98">
        <v>244714</v>
      </c>
      <c r="H98" s="1">
        <v>0.09</v>
      </c>
      <c r="I98">
        <v>1237</v>
      </c>
      <c r="J98">
        <v>27873</v>
      </c>
      <c r="K98" s="10">
        <v>0.41499999999999998</v>
      </c>
      <c r="L98">
        <v>17</v>
      </c>
      <c r="M98">
        <v>97457</v>
      </c>
      <c r="O98">
        <v>235028</v>
      </c>
      <c r="P98">
        <v>213469</v>
      </c>
      <c r="Q98" s="1">
        <v>0.2</v>
      </c>
      <c r="R98" s="1">
        <v>0.2</v>
      </c>
      <c r="S98" s="1">
        <v>0.40400000000000003</v>
      </c>
      <c r="T98" s="1">
        <v>0.33700000000000002</v>
      </c>
      <c r="U98">
        <v>9498</v>
      </c>
      <c r="V98" s="1">
        <v>0.14199999999999999</v>
      </c>
      <c r="W98">
        <v>3513</v>
      </c>
      <c r="X98" s="1">
        <v>0.20100000000000001</v>
      </c>
      <c r="Y98" s="1">
        <f>(O98-P98)/O98</f>
        <v>9.1729496060043908E-2</v>
      </c>
      <c r="Z98" s="2">
        <f>P98/M98</f>
        <v>2.1903916599115507</v>
      </c>
    </row>
    <row r="99" spans="1:26" x14ac:dyDescent="0.45">
      <c r="A99" t="s">
        <v>50</v>
      </c>
      <c r="B99" t="s">
        <v>51</v>
      </c>
      <c r="C99" t="s">
        <v>52</v>
      </c>
      <c r="D99" t="s">
        <v>34</v>
      </c>
      <c r="E99" t="s">
        <v>35</v>
      </c>
      <c r="F99">
        <v>286</v>
      </c>
      <c r="G99">
        <v>244714</v>
      </c>
      <c r="H99" s="1">
        <v>0.09</v>
      </c>
      <c r="I99">
        <v>1285</v>
      </c>
      <c r="J99">
        <v>27873</v>
      </c>
      <c r="K99" s="10">
        <v>0.39900000000000002</v>
      </c>
      <c r="L99">
        <v>17</v>
      </c>
      <c r="M99">
        <v>97457</v>
      </c>
      <c r="O99">
        <v>244194</v>
      </c>
      <c r="P99">
        <v>225114</v>
      </c>
      <c r="Q99" s="1">
        <v>0.23400000000000001</v>
      </c>
      <c r="R99" s="1">
        <v>0.2</v>
      </c>
      <c r="S99" s="1">
        <v>0.42</v>
      </c>
      <c r="T99" s="1">
        <v>0.36499999999999999</v>
      </c>
      <c r="U99">
        <v>6421</v>
      </c>
      <c r="V99" s="1">
        <v>9.1999999999999998E-2</v>
      </c>
      <c r="W99">
        <v>3513</v>
      </c>
      <c r="X99" s="1">
        <v>0.20100000000000001</v>
      </c>
      <c r="Y99" s="1">
        <f>(O99-P99)/O99</f>
        <v>7.8134597901668351E-2</v>
      </c>
      <c r="Z99" s="2">
        <f>P99/M99</f>
        <v>2.3098802548816399</v>
      </c>
    </row>
    <row r="100" spans="1:26" x14ac:dyDescent="0.45">
      <c r="A100" t="s">
        <v>369</v>
      </c>
      <c r="B100" t="s">
        <v>370</v>
      </c>
      <c r="C100" t="s">
        <v>366</v>
      </c>
      <c r="D100" t="s">
        <v>302</v>
      </c>
      <c r="E100" t="s">
        <v>30</v>
      </c>
      <c r="F100">
        <v>783</v>
      </c>
      <c r="G100">
        <v>264157</v>
      </c>
      <c r="H100" s="1">
        <v>9.3000000000000013E-2</v>
      </c>
      <c r="I100">
        <v>1281</v>
      </c>
      <c r="J100">
        <v>80412</v>
      </c>
      <c r="K100" s="10">
        <v>0.39500000000000002</v>
      </c>
      <c r="L100">
        <v>20</v>
      </c>
      <c r="M100">
        <v>102698</v>
      </c>
      <c r="O100">
        <v>260008</v>
      </c>
      <c r="P100">
        <v>237427</v>
      </c>
      <c r="Q100" s="1">
        <v>0.2</v>
      </c>
      <c r="R100" s="1">
        <v>0.2</v>
      </c>
      <c r="S100" s="1">
        <v>0.41</v>
      </c>
      <c r="T100" s="1">
        <v>0.34899999999999998</v>
      </c>
      <c r="U100">
        <v>18851</v>
      </c>
      <c r="V100" s="1">
        <v>8.5000000000000006E-2</v>
      </c>
      <c r="W100">
        <v>4298</v>
      </c>
      <c r="X100" s="1">
        <v>0</v>
      </c>
      <c r="Y100" s="1">
        <f>(O100-P100)/O100</f>
        <v>8.6847327774530012E-2</v>
      </c>
      <c r="Z100" s="2">
        <f>P100/M100</f>
        <v>2.3118950709848294</v>
      </c>
    </row>
    <row r="101" spans="1:26" x14ac:dyDescent="0.45">
      <c r="A101" t="s">
        <v>178</v>
      </c>
      <c r="B101" t="s">
        <v>179</v>
      </c>
      <c r="C101" t="s">
        <v>171</v>
      </c>
      <c r="D101" t="s">
        <v>163</v>
      </c>
      <c r="E101" t="s">
        <v>30</v>
      </c>
      <c r="F101">
        <v>521</v>
      </c>
      <c r="G101">
        <v>235000</v>
      </c>
      <c r="H101" s="1">
        <v>6.2E-2</v>
      </c>
      <c r="I101">
        <v>1847</v>
      </c>
      <c r="J101">
        <v>51091</v>
      </c>
      <c r="K101" s="10">
        <v>0.45500000000000002</v>
      </c>
      <c r="L101">
        <v>20</v>
      </c>
      <c r="M101">
        <v>98064</v>
      </c>
      <c r="O101">
        <v>215545</v>
      </c>
      <c r="P101">
        <v>199266</v>
      </c>
      <c r="Q101" s="1">
        <v>0.20699999999999999</v>
      </c>
      <c r="R101" s="1">
        <v>0.2</v>
      </c>
      <c r="S101" s="1">
        <v>0.39200000000000002</v>
      </c>
      <c r="T101" s="1">
        <v>0.33700000000000002</v>
      </c>
      <c r="U101">
        <v>17975</v>
      </c>
      <c r="V101" s="1">
        <v>0.14899999999999999</v>
      </c>
      <c r="W101">
        <v>2771</v>
      </c>
      <c r="X101" s="1">
        <v>0.5</v>
      </c>
      <c r="Y101" s="1">
        <f>(O101-P101)/O101</f>
        <v>7.5524832401586681E-2</v>
      </c>
      <c r="Z101" s="2">
        <f>P101/M101</f>
        <v>2.0319995105237396</v>
      </c>
    </row>
    <row r="102" spans="1:26" x14ac:dyDescent="0.45">
      <c r="A102" t="s">
        <v>354</v>
      </c>
      <c r="B102" t="s">
        <v>355</v>
      </c>
      <c r="C102" t="s">
        <v>352</v>
      </c>
      <c r="D102" t="s">
        <v>163</v>
      </c>
      <c r="E102" t="s">
        <v>30</v>
      </c>
      <c r="F102">
        <v>612</v>
      </c>
      <c r="G102">
        <v>266765</v>
      </c>
      <c r="H102" s="1">
        <v>6.6000000000000003E-2</v>
      </c>
      <c r="I102">
        <v>1118</v>
      </c>
      <c r="J102">
        <v>64049</v>
      </c>
      <c r="K102" s="10">
        <v>0.436</v>
      </c>
      <c r="L102">
        <v>22</v>
      </c>
      <c r="M102">
        <v>104655</v>
      </c>
      <c r="O102">
        <v>240157</v>
      </c>
      <c r="P102">
        <v>222560</v>
      </c>
      <c r="Q102" s="1">
        <v>0.20300000000000001</v>
      </c>
      <c r="R102" s="1">
        <v>0.2</v>
      </c>
      <c r="S102" s="1">
        <v>0.39600000000000002</v>
      </c>
      <c r="T102" s="1">
        <v>0.34300000000000003</v>
      </c>
      <c r="U102">
        <v>19675</v>
      </c>
      <c r="V102" s="1">
        <v>0.123</v>
      </c>
      <c r="W102">
        <v>4086</v>
      </c>
      <c r="X102" s="1">
        <v>0</v>
      </c>
      <c r="Y102" s="1">
        <f>(O102-P102)/O102</f>
        <v>7.3272900644161948E-2</v>
      </c>
      <c r="Z102" s="2">
        <f>P102/M102</f>
        <v>2.126606468873919</v>
      </c>
    </row>
    <row r="103" spans="1:26" x14ac:dyDescent="0.45">
      <c r="A103" t="s">
        <v>61</v>
      </c>
      <c r="B103" t="s">
        <v>62</v>
      </c>
      <c r="C103" t="s">
        <v>63</v>
      </c>
      <c r="D103" t="s">
        <v>29</v>
      </c>
      <c r="E103" t="s">
        <v>30</v>
      </c>
      <c r="F103">
        <v>320</v>
      </c>
      <c r="G103">
        <v>193641</v>
      </c>
      <c r="H103" s="1">
        <v>6.9000000000000006E-2</v>
      </c>
      <c r="I103">
        <v>532</v>
      </c>
      <c r="J103">
        <v>26722</v>
      </c>
      <c r="K103" s="10">
        <v>0.41099999999999998</v>
      </c>
      <c r="L103">
        <v>13</v>
      </c>
      <c r="M103">
        <v>83505</v>
      </c>
      <c r="O103">
        <v>203268</v>
      </c>
      <c r="P103">
        <v>175186</v>
      </c>
      <c r="Q103" s="5">
        <v>0.253</v>
      </c>
      <c r="R103" s="1">
        <v>0.2</v>
      </c>
      <c r="S103" s="1">
        <v>0.45300000000000001</v>
      </c>
      <c r="T103" s="1">
        <v>0.35699999999999998</v>
      </c>
      <c r="U103">
        <v>8862</v>
      </c>
      <c r="V103" s="1">
        <v>0.124</v>
      </c>
      <c r="W103">
        <v>2171</v>
      </c>
      <c r="X103" s="1">
        <v>0.75</v>
      </c>
      <c r="Y103" s="1">
        <f>(O103-P103)/O103</f>
        <v>0.13815258673278627</v>
      </c>
      <c r="Z103" s="2">
        <f>P103/M103</f>
        <v>2.0979103047721694</v>
      </c>
    </row>
    <row r="104" spans="1:26" x14ac:dyDescent="0.45">
      <c r="A104" t="s">
        <v>147</v>
      </c>
      <c r="B104" t="s">
        <v>148</v>
      </c>
      <c r="C104" t="s">
        <v>139</v>
      </c>
      <c r="D104" t="s">
        <v>29</v>
      </c>
      <c r="E104" t="s">
        <v>30</v>
      </c>
      <c r="F104">
        <v>537</v>
      </c>
      <c r="G104">
        <v>244855</v>
      </c>
      <c r="H104" s="1">
        <v>9.1999999999999998E-2</v>
      </c>
      <c r="I104">
        <v>1128</v>
      </c>
      <c r="J104">
        <v>56271</v>
      </c>
      <c r="K104" s="10">
        <v>0.44800000000000001</v>
      </c>
      <c r="L104">
        <v>19</v>
      </c>
      <c r="M104">
        <v>104788</v>
      </c>
      <c r="O104">
        <v>210192</v>
      </c>
      <c r="P104">
        <v>210192</v>
      </c>
      <c r="Q104" s="1">
        <v>0.17699999999999999</v>
      </c>
      <c r="R104" s="1">
        <v>0.2</v>
      </c>
      <c r="S104" s="1">
        <v>0.36699999999999999</v>
      </c>
      <c r="T104" s="1">
        <v>0.28899999999999998</v>
      </c>
      <c r="U104">
        <v>17934</v>
      </c>
      <c r="V104" s="1">
        <v>0.13100000000000001</v>
      </c>
      <c r="W104">
        <v>3377</v>
      </c>
      <c r="X104" s="1">
        <v>0.374</v>
      </c>
      <c r="Y104" s="1">
        <f>(O104-P104)/O104</f>
        <v>0</v>
      </c>
      <c r="Z104" s="2">
        <f>P104/M104</f>
        <v>2.0058785357101958</v>
      </c>
    </row>
    <row r="105" spans="1:26" x14ac:dyDescent="0.45">
      <c r="A105" t="s">
        <v>264</v>
      </c>
      <c r="B105" t="s">
        <v>148</v>
      </c>
      <c r="C105" t="s">
        <v>260</v>
      </c>
      <c r="D105" t="s">
        <v>29</v>
      </c>
      <c r="E105" t="s">
        <v>30</v>
      </c>
      <c r="F105">
        <v>800</v>
      </c>
      <c r="G105">
        <v>264285</v>
      </c>
      <c r="H105" s="1">
        <v>6.5000000000000002E-2</v>
      </c>
      <c r="I105">
        <v>1264</v>
      </c>
      <c r="J105">
        <v>90807</v>
      </c>
      <c r="K105" s="10">
        <v>0.45800000000000002</v>
      </c>
      <c r="L105">
        <v>19</v>
      </c>
      <c r="M105">
        <v>113509</v>
      </c>
      <c r="O105">
        <v>247938</v>
      </c>
      <c r="P105">
        <v>227805</v>
      </c>
      <c r="Q105" s="1">
        <v>0.183</v>
      </c>
      <c r="R105" s="1">
        <v>0.2</v>
      </c>
      <c r="S105" s="1">
        <v>0.38100000000000001</v>
      </c>
      <c r="T105" s="1">
        <v>0.32200000000000001</v>
      </c>
      <c r="U105">
        <v>23030</v>
      </c>
      <c r="V105" s="1">
        <v>0.105</v>
      </c>
      <c r="W105">
        <v>4094</v>
      </c>
      <c r="X105" s="1">
        <v>8.8000000000000009E-2</v>
      </c>
      <c r="Y105" s="1">
        <f>(O105-P105)/O105</f>
        <v>8.1201752050915954E-2</v>
      </c>
      <c r="Z105" s="2">
        <f>P105/M105</f>
        <v>2.0069333709221295</v>
      </c>
    </row>
    <row r="106" spans="1:26" x14ac:dyDescent="0.45">
      <c r="A106" t="s">
        <v>316</v>
      </c>
      <c r="B106" t="s">
        <v>317</v>
      </c>
      <c r="C106" t="s">
        <v>318</v>
      </c>
      <c r="D106" t="s">
        <v>319</v>
      </c>
      <c r="E106" t="s">
        <v>30</v>
      </c>
      <c r="F106">
        <v>800</v>
      </c>
      <c r="G106">
        <v>264285</v>
      </c>
      <c r="H106" s="1">
        <v>6.5000000000000002E-2</v>
      </c>
      <c r="I106">
        <v>1265</v>
      </c>
      <c r="J106">
        <v>86726</v>
      </c>
      <c r="K106" s="10">
        <v>0.436</v>
      </c>
      <c r="L106">
        <v>19</v>
      </c>
      <c r="M106">
        <v>108407</v>
      </c>
      <c r="O106">
        <v>248547</v>
      </c>
      <c r="P106">
        <v>229408</v>
      </c>
      <c r="Q106" s="1">
        <v>0.20300000000000001</v>
      </c>
      <c r="R106" s="1">
        <v>0.2</v>
      </c>
      <c r="S106" s="1">
        <v>0.40300000000000002</v>
      </c>
      <c r="T106" s="1">
        <v>0.34799999999999998</v>
      </c>
      <c r="U106">
        <v>23308</v>
      </c>
      <c r="V106" s="1">
        <v>0.108</v>
      </c>
      <c r="W106">
        <v>4283</v>
      </c>
      <c r="X106" s="1">
        <v>4.4999999999999998E-2</v>
      </c>
      <c r="Y106" s="1">
        <f>(O106-P106)/O106</f>
        <v>7.7003544601222301E-2</v>
      </c>
      <c r="Z106" s="2">
        <f>P106/M106</f>
        <v>2.1161733098416153</v>
      </c>
    </row>
    <row r="107" spans="1:26" x14ac:dyDescent="0.45">
      <c r="A107" t="s">
        <v>108</v>
      </c>
      <c r="B107" t="s">
        <v>109</v>
      </c>
      <c r="C107" t="s">
        <v>110</v>
      </c>
      <c r="D107" t="s">
        <v>29</v>
      </c>
      <c r="E107" t="s">
        <v>30</v>
      </c>
      <c r="F107">
        <v>564</v>
      </c>
      <c r="G107">
        <v>249929</v>
      </c>
      <c r="H107" s="1">
        <v>9.4E-2</v>
      </c>
      <c r="I107">
        <v>650</v>
      </c>
      <c r="J107">
        <v>60122</v>
      </c>
      <c r="K107" s="10">
        <v>0.44800000000000001</v>
      </c>
      <c r="L107">
        <v>18</v>
      </c>
      <c r="M107">
        <v>106599</v>
      </c>
      <c r="O107">
        <v>218265</v>
      </c>
      <c r="P107">
        <v>218265</v>
      </c>
      <c r="Q107" s="1">
        <v>0.20100000000000001</v>
      </c>
      <c r="R107" s="1">
        <v>0.2</v>
      </c>
      <c r="S107" s="1">
        <v>0.377</v>
      </c>
      <c r="T107" s="1">
        <v>0.314</v>
      </c>
      <c r="U107">
        <v>10618</v>
      </c>
      <c r="V107" s="1">
        <v>7.2999999999999995E-2</v>
      </c>
      <c r="W107">
        <v>3769.13</v>
      </c>
      <c r="X107" s="1">
        <v>0.19</v>
      </c>
      <c r="Y107" s="1">
        <f>(O107-P107)/O107</f>
        <v>0</v>
      </c>
      <c r="Z107" s="2">
        <f>P107/M107</f>
        <v>2.0475332789238174</v>
      </c>
    </row>
    <row r="108" spans="1:26" x14ac:dyDescent="0.45">
      <c r="A108" t="s">
        <v>226</v>
      </c>
      <c r="B108" t="s">
        <v>227</v>
      </c>
      <c r="C108" t="s">
        <v>228</v>
      </c>
      <c r="D108" t="s">
        <v>29</v>
      </c>
      <c r="E108" t="s">
        <v>30</v>
      </c>
      <c r="F108">
        <v>390</v>
      </c>
      <c r="G108">
        <v>264487</v>
      </c>
      <c r="H108" s="1">
        <v>0.105</v>
      </c>
      <c r="I108">
        <v>929</v>
      </c>
      <c r="J108">
        <v>40055</v>
      </c>
      <c r="K108" s="10">
        <v>0.40600000000000003</v>
      </c>
      <c r="L108">
        <v>17</v>
      </c>
      <c r="M108">
        <v>102705</v>
      </c>
      <c r="O108">
        <v>253019</v>
      </c>
      <c r="P108">
        <v>229826</v>
      </c>
      <c r="Q108" s="6">
        <v>20.100000000000001</v>
      </c>
      <c r="R108">
        <v>20</v>
      </c>
      <c r="S108" s="1">
        <v>0.38300000000000001</v>
      </c>
      <c r="T108" s="1">
        <v>0.314</v>
      </c>
      <c r="U108">
        <v>9860</v>
      </c>
      <c r="V108" s="1">
        <v>9.5000000000000001E-2</v>
      </c>
      <c r="W108">
        <v>4164</v>
      </c>
      <c r="X108" s="1">
        <v>0</v>
      </c>
      <c r="Y108" s="1">
        <f>(O108-P108)/O108</f>
        <v>9.1665052822120077E-2</v>
      </c>
      <c r="Z108" s="2">
        <f>P108/M108</f>
        <v>2.2377294192103596</v>
      </c>
    </row>
    <row r="109" spans="1:26" x14ac:dyDescent="0.45">
      <c r="A109" t="s">
        <v>414</v>
      </c>
      <c r="B109" t="s">
        <v>415</v>
      </c>
      <c r="C109" t="s">
        <v>416</v>
      </c>
      <c r="D109" t="s">
        <v>319</v>
      </c>
      <c r="E109" t="s">
        <v>30</v>
      </c>
      <c r="F109">
        <v>800</v>
      </c>
      <c r="G109">
        <v>262398</v>
      </c>
      <c r="H109" s="1">
        <v>2.8000000000000001E-2</v>
      </c>
      <c r="I109">
        <v>581</v>
      </c>
      <c r="J109">
        <v>91896</v>
      </c>
      <c r="K109" s="10">
        <v>0.42599999999999999</v>
      </c>
      <c r="L109">
        <v>21</v>
      </c>
      <c r="M109">
        <v>114870</v>
      </c>
      <c r="O109">
        <v>269442</v>
      </c>
      <c r="P109">
        <v>238466</v>
      </c>
      <c r="Q109" s="1">
        <v>0.23400000000000001</v>
      </c>
      <c r="R109" s="1">
        <v>0.22</v>
      </c>
      <c r="S109" s="1">
        <v>0.46</v>
      </c>
      <c r="T109" s="1">
        <v>0.38</v>
      </c>
      <c r="U109">
        <v>19361</v>
      </c>
      <c r="V109" s="1">
        <v>8.5000000000000006E-2</v>
      </c>
      <c r="W109">
        <v>4845</v>
      </c>
      <c r="X109" s="1">
        <v>0</v>
      </c>
      <c r="Y109" s="1">
        <f>(O109-P109)/O109</f>
        <v>0.11496351719479517</v>
      </c>
      <c r="Z109" s="2">
        <f>P109/M109</f>
        <v>2.0759641333681551</v>
      </c>
    </row>
    <row r="110" spans="1:26" x14ac:dyDescent="0.45">
      <c r="A110" t="s">
        <v>392</v>
      </c>
      <c r="B110" t="s">
        <v>393</v>
      </c>
      <c r="C110" t="s">
        <v>391</v>
      </c>
      <c r="D110" t="s">
        <v>29</v>
      </c>
      <c r="E110" t="s">
        <v>30</v>
      </c>
      <c r="F110">
        <v>354</v>
      </c>
      <c r="G110">
        <v>231751</v>
      </c>
      <c r="H110" s="1">
        <v>9.3000000000000013E-2</v>
      </c>
      <c r="I110">
        <v>829</v>
      </c>
      <c r="J110">
        <v>34938</v>
      </c>
      <c r="K110" s="10">
        <v>0.44400000000000001</v>
      </c>
      <c r="L110">
        <v>12</v>
      </c>
      <c r="M110">
        <v>98695</v>
      </c>
      <c r="O110">
        <v>222366</v>
      </c>
      <c r="P110">
        <v>201782</v>
      </c>
      <c r="Q110" s="1">
        <v>0.2</v>
      </c>
      <c r="R110" s="1">
        <v>0.2</v>
      </c>
      <c r="S110" s="1">
        <v>0.38800000000000001</v>
      </c>
      <c r="T110" s="1">
        <v>0.32</v>
      </c>
      <c r="U110">
        <v>11729</v>
      </c>
      <c r="V110" s="1">
        <v>0.14199999999999999</v>
      </c>
      <c r="W110">
        <v>3867</v>
      </c>
      <c r="X110" s="1">
        <v>0.14499999999999999</v>
      </c>
      <c r="Y110" s="1">
        <f>(O110-P110)/O110</f>
        <v>9.2568108433843305E-2</v>
      </c>
      <c r="Z110" s="2">
        <f>P110/M110</f>
        <v>2.044500734586352</v>
      </c>
    </row>
    <row r="111" spans="1:26" x14ac:dyDescent="0.45">
      <c r="A111" t="s">
        <v>324</v>
      </c>
      <c r="B111" t="s">
        <v>325</v>
      </c>
      <c r="C111" t="s">
        <v>326</v>
      </c>
      <c r="D111" t="s">
        <v>29</v>
      </c>
      <c r="E111" t="s">
        <v>30</v>
      </c>
      <c r="F111">
        <v>753</v>
      </c>
      <c r="G111">
        <v>281992</v>
      </c>
      <c r="H111" s="1">
        <v>0.14000000000000001</v>
      </c>
      <c r="I111">
        <v>2509</v>
      </c>
      <c r="J111">
        <v>74018</v>
      </c>
      <c r="K111" s="10">
        <v>0.371</v>
      </c>
      <c r="L111">
        <v>18</v>
      </c>
      <c r="M111">
        <v>98297</v>
      </c>
      <c r="O111">
        <v>264652</v>
      </c>
      <c r="P111">
        <v>239556</v>
      </c>
      <c r="Q111" s="1">
        <v>0.20499999999999999</v>
      </c>
      <c r="R111" s="1">
        <v>0.2</v>
      </c>
      <c r="S111" s="1">
        <v>0.39400000000000002</v>
      </c>
      <c r="T111" s="1">
        <v>0.32400000000000001</v>
      </c>
      <c r="U111">
        <v>14685</v>
      </c>
      <c r="V111" s="1">
        <v>6.8000000000000005E-2</v>
      </c>
      <c r="W111">
        <v>4346</v>
      </c>
      <c r="X111" s="1">
        <v>0</v>
      </c>
      <c r="Y111" s="1">
        <f>(O111-P111)/O111</f>
        <v>9.4826413554403521E-2</v>
      </c>
      <c r="Z111" s="2">
        <f>P111/M111</f>
        <v>2.4370631860585776</v>
      </c>
    </row>
    <row r="112" spans="1:26" x14ac:dyDescent="0.45">
      <c r="A112" t="s">
        <v>26</v>
      </c>
      <c r="B112" t="s">
        <v>27</v>
      </c>
      <c r="C112" t="s">
        <v>28</v>
      </c>
      <c r="D112" t="s">
        <v>29</v>
      </c>
      <c r="E112" t="s">
        <v>30</v>
      </c>
      <c r="F112">
        <v>1143</v>
      </c>
      <c r="G112">
        <v>292021</v>
      </c>
      <c r="H112" s="1">
        <v>0.13800000000000001</v>
      </c>
      <c r="I112">
        <v>2293</v>
      </c>
      <c r="J112">
        <v>107842</v>
      </c>
      <c r="K112" s="10">
        <v>0.34699999999999998</v>
      </c>
      <c r="L112">
        <v>19</v>
      </c>
      <c r="M112">
        <v>94350</v>
      </c>
      <c r="O112">
        <v>271870</v>
      </c>
      <c r="P112">
        <v>244467</v>
      </c>
      <c r="Q112" s="1">
        <v>0.20599999999999999</v>
      </c>
      <c r="R112" s="1">
        <v>0.2</v>
      </c>
      <c r="S112" s="1">
        <v>0.42799999999999999</v>
      </c>
      <c r="T112" s="1">
        <v>0.35599999999999998</v>
      </c>
      <c r="U112">
        <v>24694</v>
      </c>
      <c r="V112" s="1">
        <v>7.2000000000000008E-2</v>
      </c>
      <c r="W112">
        <v>4682</v>
      </c>
      <c r="X112" s="1">
        <v>0</v>
      </c>
      <c r="Y112" s="1">
        <f>(O112-P112)/O112</f>
        <v>0.10079449737006657</v>
      </c>
      <c r="Z112" s="2">
        <f>P112/M112</f>
        <v>2.5910651828298885</v>
      </c>
    </row>
    <row r="113" spans="1:26" x14ac:dyDescent="0.45">
      <c r="A113" t="s">
        <v>215</v>
      </c>
      <c r="B113" t="s">
        <v>216</v>
      </c>
      <c r="C113" t="s">
        <v>217</v>
      </c>
      <c r="D113" t="s">
        <v>34</v>
      </c>
      <c r="E113" t="s">
        <v>30</v>
      </c>
      <c r="F113">
        <v>795</v>
      </c>
      <c r="G113">
        <v>235874</v>
      </c>
      <c r="H113" s="1">
        <v>4.2999999999999997E-2</v>
      </c>
      <c r="I113">
        <v>593</v>
      </c>
      <c r="J113">
        <v>87017</v>
      </c>
      <c r="K113" s="10">
        <v>0.46800000000000003</v>
      </c>
      <c r="L113">
        <v>23</v>
      </c>
      <c r="M113">
        <v>109456</v>
      </c>
      <c r="O113">
        <v>233907</v>
      </c>
      <c r="P113">
        <v>211673</v>
      </c>
      <c r="Q113" s="1">
        <v>0.2</v>
      </c>
      <c r="R113" s="1">
        <v>0.19</v>
      </c>
      <c r="S113" s="1">
        <v>0.39300000000000002</v>
      </c>
      <c r="T113" s="1">
        <v>0.32100000000000001</v>
      </c>
      <c r="U113">
        <v>19644</v>
      </c>
      <c r="V113" s="1">
        <v>0.107</v>
      </c>
      <c r="W113">
        <v>3284</v>
      </c>
      <c r="X113" s="1">
        <v>0.38800000000000001</v>
      </c>
      <c r="Y113" s="1">
        <f>(O113-P113)/O113</f>
        <v>9.5054872235546609E-2</v>
      </c>
      <c r="Z113" s="2">
        <f>P113/M113</f>
        <v>1.9338638356965356</v>
      </c>
    </row>
    <row r="114" spans="1:26" x14ac:dyDescent="0.45">
      <c r="A114" t="s">
        <v>215</v>
      </c>
      <c r="B114" t="s">
        <v>216</v>
      </c>
      <c r="C114" t="s">
        <v>217</v>
      </c>
      <c r="D114" t="s">
        <v>34</v>
      </c>
      <c r="E114" t="s">
        <v>35</v>
      </c>
      <c r="F114">
        <v>795</v>
      </c>
      <c r="G114">
        <v>235874</v>
      </c>
      <c r="H114" s="1">
        <v>4.2999999999999997E-2</v>
      </c>
      <c r="I114">
        <v>593</v>
      </c>
      <c r="J114">
        <v>87303</v>
      </c>
      <c r="K114" s="10">
        <v>0.46899999999999997</v>
      </c>
      <c r="L114">
        <v>23</v>
      </c>
      <c r="M114">
        <v>109815</v>
      </c>
      <c r="O114">
        <v>233907</v>
      </c>
      <c r="P114">
        <v>211673</v>
      </c>
      <c r="Q114" s="1">
        <v>0.19800000000000001</v>
      </c>
      <c r="R114" s="1">
        <v>0.19</v>
      </c>
      <c r="S114" s="1">
        <v>0.39100000000000001</v>
      </c>
      <c r="T114" s="1">
        <v>0.31900000000000001</v>
      </c>
      <c r="U114">
        <v>19721</v>
      </c>
      <c r="V114" s="1">
        <v>0.107</v>
      </c>
      <c r="W114">
        <v>3284</v>
      </c>
      <c r="X114" s="1">
        <v>0.38800000000000001</v>
      </c>
      <c r="Y114" s="1">
        <f>(O114-P114)/O114</f>
        <v>9.5054872235546609E-2</v>
      </c>
      <c r="Z114" s="2">
        <f>P114/M114</f>
        <v>1.9275417748030779</v>
      </c>
    </row>
    <row r="115" spans="1:26" x14ac:dyDescent="0.45">
      <c r="A115" t="s">
        <v>400</v>
      </c>
      <c r="B115" t="s">
        <v>401</v>
      </c>
      <c r="C115" t="s">
        <v>402</v>
      </c>
      <c r="D115" t="s">
        <v>29</v>
      </c>
      <c r="E115" t="s">
        <v>30</v>
      </c>
      <c r="F115">
        <v>512</v>
      </c>
      <c r="G115">
        <v>241418</v>
      </c>
      <c r="H115" s="1">
        <v>0.105</v>
      </c>
      <c r="I115">
        <v>1827</v>
      </c>
      <c r="J115">
        <v>48855</v>
      </c>
      <c r="K115" s="10">
        <v>0.39100000000000001</v>
      </c>
      <c r="L115">
        <v>19</v>
      </c>
      <c r="M115">
        <v>95419</v>
      </c>
      <c r="O115">
        <v>243984</v>
      </c>
      <c r="P115">
        <v>221407</v>
      </c>
      <c r="Q115" s="3">
        <v>0.2</v>
      </c>
      <c r="R115" s="3">
        <v>0.2</v>
      </c>
      <c r="S115" s="1">
        <v>0.41099999999999998</v>
      </c>
      <c r="T115" s="1">
        <v>0.34399999999999997</v>
      </c>
      <c r="U115">
        <v>16767</v>
      </c>
      <c r="V115" s="1">
        <v>0.127</v>
      </c>
      <c r="W115">
        <v>3723</v>
      </c>
      <c r="X115" s="1">
        <v>0.17799999999999999</v>
      </c>
      <c r="Y115" s="1">
        <f>(O115-P115)/O115</f>
        <v>9.2534756377467373E-2</v>
      </c>
      <c r="Z115" s="2">
        <f>P115/M115</f>
        <v>2.3203659648497679</v>
      </c>
    </row>
    <row r="116" spans="1:26" x14ac:dyDescent="0.45">
      <c r="A116" t="s">
        <v>371</v>
      </c>
      <c r="B116" t="s">
        <v>372</v>
      </c>
      <c r="C116" t="s">
        <v>366</v>
      </c>
      <c r="D116" t="s">
        <v>44</v>
      </c>
      <c r="E116" t="s">
        <v>30</v>
      </c>
      <c r="F116">
        <v>532</v>
      </c>
      <c r="G116">
        <v>219601</v>
      </c>
      <c r="H116" s="1">
        <v>9.9000000000000005E-2</v>
      </c>
      <c r="I116">
        <v>697</v>
      </c>
      <c r="J116">
        <v>49407</v>
      </c>
      <c r="K116" s="10">
        <v>0.436</v>
      </c>
      <c r="L116">
        <v>16</v>
      </c>
      <c r="M116">
        <v>92871</v>
      </c>
      <c r="O116">
        <v>213044</v>
      </c>
      <c r="P116">
        <v>193042</v>
      </c>
      <c r="Q116" s="1">
        <v>0.20200000000000001</v>
      </c>
      <c r="R116" s="1">
        <v>0.2</v>
      </c>
      <c r="S116" s="1">
        <v>0.38400000000000001</v>
      </c>
      <c r="T116" s="1">
        <v>0.314</v>
      </c>
      <c r="U116">
        <v>15619</v>
      </c>
      <c r="V116" s="1">
        <v>0.13800000000000001</v>
      </c>
      <c r="W116">
        <v>2769</v>
      </c>
      <c r="X116" s="1">
        <v>0.60799999999999998</v>
      </c>
      <c r="Y116" s="1">
        <f>(O116-P116)/O116</f>
        <v>9.3886708848876288E-2</v>
      </c>
      <c r="Z116" s="2">
        <f>P116/M116</f>
        <v>2.0786036545315545</v>
      </c>
    </row>
    <row r="117" spans="1:26" x14ac:dyDescent="0.45">
      <c r="A117" t="s">
        <v>371</v>
      </c>
      <c r="B117" t="s">
        <v>372</v>
      </c>
      <c r="C117" t="s">
        <v>366</v>
      </c>
      <c r="D117" t="s">
        <v>44</v>
      </c>
      <c r="E117" t="s">
        <v>35</v>
      </c>
      <c r="F117">
        <v>532</v>
      </c>
      <c r="G117">
        <v>219601</v>
      </c>
      <c r="H117" s="1">
        <v>9.9000000000000005E-2</v>
      </c>
      <c r="I117">
        <v>697</v>
      </c>
      <c r="J117">
        <v>49407</v>
      </c>
      <c r="K117" s="10">
        <v>0.43799999999999989</v>
      </c>
      <c r="L117">
        <v>16</v>
      </c>
      <c r="M117">
        <v>92871</v>
      </c>
      <c r="O117">
        <v>212179</v>
      </c>
      <c r="P117">
        <v>192178</v>
      </c>
      <c r="Q117" s="1">
        <v>0.2</v>
      </c>
      <c r="R117" s="1">
        <v>0.2</v>
      </c>
      <c r="S117" s="1">
        <v>0.38300000000000001</v>
      </c>
      <c r="T117" s="1">
        <v>0.313</v>
      </c>
      <c r="U117">
        <v>16671</v>
      </c>
      <c r="V117" s="1">
        <v>0.14799999999999999</v>
      </c>
      <c r="W117">
        <v>2769</v>
      </c>
      <c r="X117" s="1">
        <v>0.60799999999999998</v>
      </c>
      <c r="Y117" s="1">
        <f>(O117-P117)/O117</f>
        <v>9.4264748160751061E-2</v>
      </c>
      <c r="Z117" s="2">
        <f>P117/M117</f>
        <v>2.0693004274746691</v>
      </c>
    </row>
    <row r="118" spans="1:26" x14ac:dyDescent="0.45">
      <c r="A118" t="s">
        <v>387</v>
      </c>
      <c r="B118" t="s">
        <v>388</v>
      </c>
      <c r="C118" t="s">
        <v>389</v>
      </c>
      <c r="D118" t="s">
        <v>136</v>
      </c>
      <c r="E118" t="s">
        <v>30</v>
      </c>
      <c r="F118">
        <v>568</v>
      </c>
      <c r="G118">
        <v>236900</v>
      </c>
      <c r="H118" s="1">
        <v>3.1E-2</v>
      </c>
      <c r="I118">
        <v>400</v>
      </c>
      <c r="J118">
        <v>61773</v>
      </c>
      <c r="K118" s="10">
        <v>0.47499999999999998</v>
      </c>
      <c r="L118">
        <v>21</v>
      </c>
      <c r="M118">
        <v>108756</v>
      </c>
      <c r="O118">
        <v>228739</v>
      </c>
      <c r="P118">
        <v>209271</v>
      </c>
      <c r="Q118" s="1">
        <v>0.218</v>
      </c>
      <c r="R118" s="1">
        <v>0.2</v>
      </c>
      <c r="S118" s="1">
        <v>0.40200000000000002</v>
      </c>
      <c r="T118" s="1">
        <v>0.33900000000000002</v>
      </c>
      <c r="U118">
        <v>16017</v>
      </c>
      <c r="V118" s="1">
        <v>0.112</v>
      </c>
      <c r="W118">
        <v>2964</v>
      </c>
      <c r="X118" s="1">
        <v>0.41099999999999998</v>
      </c>
      <c r="Y118" s="1">
        <f>(O118-P118)/O118</f>
        <v>8.5110103655257743E-2</v>
      </c>
      <c r="Z118" s="2">
        <f>P118/M118</f>
        <v>1.9242248703519806</v>
      </c>
    </row>
    <row r="119" spans="1:26" x14ac:dyDescent="0.45">
      <c r="A119" t="s">
        <v>327</v>
      </c>
      <c r="B119" t="s">
        <v>328</v>
      </c>
      <c r="C119" t="s">
        <v>326</v>
      </c>
      <c r="D119" t="s">
        <v>329</v>
      </c>
      <c r="E119" t="s">
        <v>30</v>
      </c>
      <c r="F119">
        <v>1794</v>
      </c>
      <c r="G119">
        <v>225000</v>
      </c>
      <c r="H119" s="4">
        <v>7.9000000000000001E-2</v>
      </c>
      <c r="I119">
        <v>3192</v>
      </c>
      <c r="J119" s="6">
        <v>183183</v>
      </c>
      <c r="K119" s="10">
        <v>0.46100000000000002</v>
      </c>
      <c r="L119">
        <v>25</v>
      </c>
      <c r="M119">
        <v>102109</v>
      </c>
      <c r="O119">
        <v>221585</v>
      </c>
      <c r="P119">
        <v>199510</v>
      </c>
      <c r="Q119" s="1">
        <v>0.20599999999999999</v>
      </c>
      <c r="R119" s="1">
        <v>0.2</v>
      </c>
      <c r="S119" s="1">
        <v>0.371</v>
      </c>
      <c r="T119" s="1">
        <v>0.29099999999999998</v>
      </c>
      <c r="U119">
        <v>20086</v>
      </c>
      <c r="V119" s="1">
        <v>4.3999999999999997E-2</v>
      </c>
      <c r="W119">
        <v>2591</v>
      </c>
      <c r="X119" s="3">
        <v>0.75</v>
      </c>
      <c r="Y119" s="1">
        <f>(O119-P119)/O119</f>
        <v>9.9623169438364509E-2</v>
      </c>
      <c r="Z119" s="2">
        <f>P119/M119</f>
        <v>1.9538924090922445</v>
      </c>
    </row>
    <row r="120" spans="1:26" x14ac:dyDescent="0.45">
      <c r="A120" t="s">
        <v>419</v>
      </c>
      <c r="B120" t="s">
        <v>420</v>
      </c>
      <c r="C120" t="s">
        <v>418</v>
      </c>
      <c r="D120" t="s">
        <v>34</v>
      </c>
      <c r="E120" t="s">
        <v>30</v>
      </c>
      <c r="F120">
        <v>685</v>
      </c>
      <c r="G120">
        <v>273738</v>
      </c>
      <c r="H120" s="1">
        <v>0.13200000000000001</v>
      </c>
      <c r="I120">
        <v>1302</v>
      </c>
      <c r="J120">
        <v>64100</v>
      </c>
      <c r="K120" s="10">
        <v>0.38100000000000001</v>
      </c>
      <c r="L120">
        <v>20</v>
      </c>
      <c r="M120">
        <v>93577</v>
      </c>
      <c r="O120">
        <v>245651</v>
      </c>
      <c r="P120">
        <v>217159</v>
      </c>
      <c r="Q120">
        <v>0.224</v>
      </c>
      <c r="R120">
        <v>0.24199999999999999</v>
      </c>
      <c r="S120" s="1">
        <v>0.42</v>
      </c>
      <c r="T120" s="1">
        <v>0.33200000000000002</v>
      </c>
      <c r="U120">
        <v>13327</v>
      </c>
      <c r="V120" s="1">
        <v>7.9000000000000001E-2</v>
      </c>
      <c r="W120">
        <v>4133</v>
      </c>
      <c r="X120" s="1">
        <v>0.14599999999999999</v>
      </c>
      <c r="Y120" s="1">
        <f>(O120-P120)/O120</f>
        <v>0.11598568701124766</v>
      </c>
      <c r="Z120" s="2">
        <f>P120/M120</f>
        <v>2.3206450302959061</v>
      </c>
    </row>
    <row r="121" spans="1:26" x14ac:dyDescent="0.45">
      <c r="A121" t="s">
        <v>419</v>
      </c>
      <c r="B121" t="s">
        <v>420</v>
      </c>
      <c r="C121" t="s">
        <v>418</v>
      </c>
      <c r="D121" t="s">
        <v>34</v>
      </c>
      <c r="E121" t="s">
        <v>35</v>
      </c>
      <c r="F121">
        <v>685</v>
      </c>
      <c r="G121">
        <v>273738</v>
      </c>
      <c r="H121" s="1">
        <v>0.13200000000000001</v>
      </c>
      <c r="I121">
        <v>1298</v>
      </c>
      <c r="J121">
        <v>64100</v>
      </c>
      <c r="K121" s="10">
        <v>0.38200000000000001</v>
      </c>
      <c r="L121">
        <v>20</v>
      </c>
      <c r="M121">
        <v>93577</v>
      </c>
      <c r="O121">
        <v>244731</v>
      </c>
      <c r="P121">
        <v>216098</v>
      </c>
      <c r="Q121" s="1">
        <v>0.224</v>
      </c>
      <c r="R121" s="1">
        <v>0.24199999999999999</v>
      </c>
      <c r="S121" s="1">
        <v>0.41899999999999998</v>
      </c>
      <c r="T121" s="1">
        <v>0.33</v>
      </c>
      <c r="U121">
        <v>14625</v>
      </c>
      <c r="V121" s="1">
        <v>8.8000000000000009E-2</v>
      </c>
      <c r="W121">
        <v>4133</v>
      </c>
      <c r="X121" s="1">
        <v>0.14599999999999999</v>
      </c>
      <c r="Y121" s="1">
        <f>(O121-P121)/O121</f>
        <v>0.11699784661526329</v>
      </c>
      <c r="Z121" s="2">
        <f>P121/M121</f>
        <v>2.3093067741004734</v>
      </c>
    </row>
    <row r="122" spans="1:26" x14ac:dyDescent="0.45">
      <c r="A122" t="s">
        <v>155</v>
      </c>
      <c r="B122" t="s">
        <v>156</v>
      </c>
      <c r="C122" t="s">
        <v>157</v>
      </c>
      <c r="D122" t="s">
        <v>144</v>
      </c>
      <c r="E122" t="s">
        <v>30</v>
      </c>
      <c r="F122">
        <v>414</v>
      </c>
      <c r="G122">
        <v>240000</v>
      </c>
      <c r="H122" s="1">
        <v>4.2999999999999997E-2</v>
      </c>
      <c r="I122">
        <v>955</v>
      </c>
      <c r="J122">
        <v>42211</v>
      </c>
      <c r="K122" s="10">
        <v>0.434</v>
      </c>
      <c r="L122">
        <v>17</v>
      </c>
      <c r="M122">
        <v>101959</v>
      </c>
      <c r="O122">
        <v>234993</v>
      </c>
      <c r="P122">
        <v>209718</v>
      </c>
      <c r="Q122" s="1">
        <v>0.215</v>
      </c>
      <c r="R122" s="1">
        <v>0.2</v>
      </c>
      <c r="S122" s="1">
        <v>0.42</v>
      </c>
      <c r="T122" s="1">
        <v>0.34399999999999997</v>
      </c>
      <c r="U122">
        <v>16238</v>
      </c>
      <c r="V122" s="1">
        <v>0.154</v>
      </c>
      <c r="W122">
        <v>3499</v>
      </c>
      <c r="X122" s="1">
        <v>0.25</v>
      </c>
      <c r="Y122" s="1">
        <f>(O122-P122)/O122</f>
        <v>0.10755639529688119</v>
      </c>
      <c r="Z122" s="2">
        <f>P122/M122</f>
        <v>2.056885610882806</v>
      </c>
    </row>
    <row r="123" spans="1:26" x14ac:dyDescent="0.45">
      <c r="A123" t="s">
        <v>273</v>
      </c>
      <c r="B123" t="s">
        <v>274</v>
      </c>
      <c r="C123" t="s">
        <v>272</v>
      </c>
      <c r="D123" t="s">
        <v>29</v>
      </c>
      <c r="E123" t="s">
        <v>30</v>
      </c>
      <c r="F123">
        <v>309</v>
      </c>
      <c r="G123">
        <v>271212</v>
      </c>
      <c r="H123" s="1">
        <v>0.115</v>
      </c>
      <c r="I123">
        <v>986</v>
      </c>
      <c r="J123">
        <v>33311</v>
      </c>
      <c r="K123" s="10">
        <v>0.41899999999999998</v>
      </c>
      <c r="L123">
        <v>16</v>
      </c>
      <c r="M123">
        <v>107801</v>
      </c>
      <c r="O123">
        <v>257264</v>
      </c>
      <c r="P123">
        <v>236858</v>
      </c>
      <c r="Q123" s="1">
        <v>0.20499999999999999</v>
      </c>
      <c r="R123" s="1">
        <v>0.2</v>
      </c>
      <c r="S123" s="1">
        <v>0.38800000000000001</v>
      </c>
      <c r="T123" s="1">
        <v>0.33</v>
      </c>
      <c r="U123">
        <v>8822</v>
      </c>
      <c r="V123" s="1">
        <v>0.107</v>
      </c>
      <c r="W123">
        <v>4122</v>
      </c>
      <c r="X123" s="1">
        <v>0</v>
      </c>
      <c r="Y123" s="1">
        <f>(O123-P123)/O123</f>
        <v>7.9319298463834814E-2</v>
      </c>
      <c r="Z123" s="2">
        <f>P123/M123</f>
        <v>2.1971781337835457</v>
      </c>
    </row>
    <row r="124" spans="1:26" x14ac:dyDescent="0.45">
      <c r="A124" t="s">
        <v>254</v>
      </c>
      <c r="B124" t="s">
        <v>255</v>
      </c>
      <c r="C124" t="s">
        <v>253</v>
      </c>
      <c r="D124" t="s">
        <v>168</v>
      </c>
      <c r="E124" t="s">
        <v>30</v>
      </c>
      <c r="F124">
        <v>605</v>
      </c>
      <c r="G124">
        <v>244380</v>
      </c>
      <c r="H124" s="1">
        <v>0.106</v>
      </c>
      <c r="I124">
        <v>25</v>
      </c>
      <c r="J124">
        <v>58311</v>
      </c>
      <c r="K124" s="10">
        <v>0.41299999999999998</v>
      </c>
      <c r="L124">
        <v>21</v>
      </c>
      <c r="M124">
        <v>96381</v>
      </c>
      <c r="O124">
        <v>233565</v>
      </c>
      <c r="P124">
        <v>215464</v>
      </c>
      <c r="Q124" s="1">
        <v>0.218</v>
      </c>
      <c r="R124" s="1">
        <v>0.2</v>
      </c>
      <c r="S124" s="1">
        <v>0.373</v>
      </c>
      <c r="T124" s="1">
        <v>0.314</v>
      </c>
      <c r="U124">
        <v>14001</v>
      </c>
      <c r="V124" s="1">
        <v>9.0999999999999998E-2</v>
      </c>
      <c r="W124">
        <v>3486</v>
      </c>
      <c r="X124" s="1">
        <v>0.32</v>
      </c>
      <c r="Y124" s="1">
        <f>(O124-P124)/O124</f>
        <v>7.7498769079271293E-2</v>
      </c>
      <c r="Z124" s="2">
        <f>P124/M124</f>
        <v>2.235544350027495</v>
      </c>
    </row>
    <row r="125" spans="1:26" x14ac:dyDescent="0.45">
      <c r="A125" t="s">
        <v>254</v>
      </c>
      <c r="B125" t="s">
        <v>255</v>
      </c>
      <c r="C125" t="s">
        <v>253</v>
      </c>
      <c r="D125" t="s">
        <v>168</v>
      </c>
      <c r="E125" t="s">
        <v>30</v>
      </c>
      <c r="F125">
        <v>605</v>
      </c>
      <c r="G125">
        <v>244380</v>
      </c>
      <c r="H125" s="1">
        <v>0.106</v>
      </c>
      <c r="I125">
        <v>25</v>
      </c>
      <c r="J125">
        <v>58311</v>
      </c>
      <c r="K125" s="10">
        <v>0.41299999999999998</v>
      </c>
      <c r="L125">
        <v>21</v>
      </c>
      <c r="M125">
        <v>96381</v>
      </c>
      <c r="O125">
        <v>233565</v>
      </c>
      <c r="P125">
        <v>215464</v>
      </c>
      <c r="Q125" s="1">
        <v>0.218</v>
      </c>
      <c r="R125" s="1">
        <v>0.2</v>
      </c>
      <c r="S125" s="1">
        <v>0.373</v>
      </c>
      <c r="T125" s="1">
        <v>0.314</v>
      </c>
      <c r="U125">
        <v>14001</v>
      </c>
      <c r="V125" s="1">
        <v>9.0999999999999998E-2</v>
      </c>
      <c r="W125">
        <v>3486</v>
      </c>
      <c r="X125" s="1">
        <v>0.32</v>
      </c>
      <c r="Y125" s="1">
        <f>(O125-P125)/O125</f>
        <v>7.7498769079271293E-2</v>
      </c>
      <c r="Z125" s="2">
        <f>P125/M125</f>
        <v>2.235544350027495</v>
      </c>
    </row>
    <row r="126" spans="1:26" x14ac:dyDescent="0.45">
      <c r="A126" t="s">
        <v>265</v>
      </c>
      <c r="B126" t="s">
        <v>266</v>
      </c>
      <c r="C126" t="s">
        <v>260</v>
      </c>
      <c r="D126" t="s">
        <v>267</v>
      </c>
      <c r="E126" t="s">
        <v>30</v>
      </c>
      <c r="F126">
        <v>1006</v>
      </c>
      <c r="G126">
        <v>298961</v>
      </c>
      <c r="H126" s="1">
        <v>0.12</v>
      </c>
      <c r="I126">
        <v>3531</v>
      </c>
      <c r="J126">
        <v>104494</v>
      </c>
      <c r="K126" s="10">
        <v>0.39500000000000002</v>
      </c>
      <c r="L126">
        <v>25</v>
      </c>
      <c r="M126">
        <v>103871</v>
      </c>
      <c r="O126">
        <v>263043</v>
      </c>
      <c r="P126">
        <v>241767</v>
      </c>
      <c r="Q126" s="1">
        <v>0.19600000000000001</v>
      </c>
      <c r="R126" s="1">
        <v>0.2</v>
      </c>
      <c r="S126" s="1">
        <v>0.38</v>
      </c>
      <c r="T126" s="1">
        <v>0.318</v>
      </c>
      <c r="U126">
        <v>20482</v>
      </c>
      <c r="V126" s="1">
        <v>7.0000000000000007E-2</v>
      </c>
      <c r="W126">
        <v>4442</v>
      </c>
      <c r="X126" s="1">
        <v>0.14299999999999999</v>
      </c>
      <c r="Y126" s="1">
        <f>(O126-P126)/O126</f>
        <v>8.0884114004174223E-2</v>
      </c>
      <c r="Z126" s="2">
        <f>P126/M126</f>
        <v>2.3275697740466539</v>
      </c>
    </row>
    <row r="127" spans="1:26" x14ac:dyDescent="0.45">
      <c r="A127" t="s">
        <v>223</v>
      </c>
      <c r="B127" t="s">
        <v>224</v>
      </c>
      <c r="C127" t="s">
        <v>225</v>
      </c>
      <c r="D127" t="s">
        <v>60</v>
      </c>
      <c r="E127" t="s">
        <v>30</v>
      </c>
      <c r="F127">
        <v>708</v>
      </c>
      <c r="G127">
        <v>300596</v>
      </c>
      <c r="H127" s="1">
        <v>0.152</v>
      </c>
      <c r="I127">
        <v>3680</v>
      </c>
      <c r="J127">
        <v>70064</v>
      </c>
      <c r="K127" s="10">
        <v>0.35899999999999999</v>
      </c>
      <c r="L127">
        <v>22</v>
      </c>
      <c r="M127">
        <v>98960</v>
      </c>
      <c r="O127">
        <v>275611</v>
      </c>
      <c r="P127">
        <v>259254</v>
      </c>
      <c r="Q127" s="1">
        <v>0.19</v>
      </c>
      <c r="R127" s="1">
        <v>0.2</v>
      </c>
      <c r="S127" s="1">
        <v>0.36299999999999999</v>
      </c>
      <c r="T127" s="1">
        <v>0.32</v>
      </c>
      <c r="U127">
        <v>16151</v>
      </c>
      <c r="V127" s="1">
        <v>8.4000000000000005E-2</v>
      </c>
      <c r="W127">
        <v>5341</v>
      </c>
      <c r="X127" s="1">
        <v>0</v>
      </c>
      <c r="Y127" s="1">
        <f>(O127-P127)/O127</f>
        <v>5.9348139225212343E-2</v>
      </c>
      <c r="Z127" s="2">
        <f>P127/M127</f>
        <v>2.6197857720291027</v>
      </c>
    </row>
    <row r="128" spans="1:26" x14ac:dyDescent="0.45">
      <c r="A128" t="s">
        <v>223</v>
      </c>
      <c r="B128" t="s">
        <v>224</v>
      </c>
      <c r="C128" t="s">
        <v>225</v>
      </c>
      <c r="D128" t="s">
        <v>60</v>
      </c>
      <c r="E128" t="s">
        <v>35</v>
      </c>
      <c r="F128">
        <v>708</v>
      </c>
      <c r="G128">
        <v>300596</v>
      </c>
      <c r="H128" s="1">
        <v>0.152</v>
      </c>
      <c r="I128">
        <v>3682</v>
      </c>
      <c r="J128">
        <v>70064</v>
      </c>
      <c r="K128" s="10">
        <v>0.35899999999999999</v>
      </c>
      <c r="L128">
        <v>22</v>
      </c>
      <c r="M128">
        <v>98960</v>
      </c>
      <c r="O128">
        <v>275667</v>
      </c>
      <c r="P128">
        <v>260707</v>
      </c>
      <c r="Q128" s="1">
        <v>0.191</v>
      </c>
      <c r="R128" s="1">
        <v>0.2</v>
      </c>
      <c r="S128" s="1">
        <v>0.36099999999999999</v>
      </c>
      <c r="T128" s="1">
        <v>0.32200000000000001</v>
      </c>
      <c r="U128">
        <v>14826</v>
      </c>
      <c r="V128" s="1">
        <v>7.6999999999999999E-2</v>
      </c>
      <c r="W128">
        <v>5341</v>
      </c>
      <c r="X128" s="1">
        <v>0</v>
      </c>
      <c r="Y128" s="1">
        <f>(O128-P128)/O128</f>
        <v>5.4268374524335521E-2</v>
      </c>
      <c r="Z128" s="2">
        <f>P128/M128</f>
        <v>2.6344684721099436</v>
      </c>
    </row>
    <row r="129" spans="1:26" x14ac:dyDescent="0.45">
      <c r="A129" t="s">
        <v>245</v>
      </c>
      <c r="B129" t="s">
        <v>224</v>
      </c>
      <c r="C129" t="s">
        <v>244</v>
      </c>
      <c r="D129" t="s">
        <v>34</v>
      </c>
      <c r="E129" t="s">
        <v>30</v>
      </c>
      <c r="F129">
        <v>708</v>
      </c>
      <c r="G129">
        <v>300596</v>
      </c>
      <c r="H129" s="1">
        <v>0.152</v>
      </c>
      <c r="I129">
        <v>3680</v>
      </c>
      <c r="J129">
        <v>67588</v>
      </c>
      <c r="K129" s="10">
        <v>0.34599999999999997</v>
      </c>
      <c r="L129">
        <v>22</v>
      </c>
      <c r="M129">
        <v>95463</v>
      </c>
      <c r="O129">
        <v>275611</v>
      </c>
      <c r="P129">
        <v>259254</v>
      </c>
      <c r="Q129" s="1">
        <v>0.20100000000000001</v>
      </c>
      <c r="R129" s="1">
        <v>0.2</v>
      </c>
      <c r="S129" s="1">
        <v>0.37200000000000011</v>
      </c>
      <c r="T129" s="1">
        <v>0.33</v>
      </c>
      <c r="U129">
        <v>15553</v>
      </c>
      <c r="V129" s="1">
        <v>8.1000000000000003E-2</v>
      </c>
      <c r="W129">
        <v>5341</v>
      </c>
      <c r="X129" s="1">
        <v>0</v>
      </c>
      <c r="Y129" s="1">
        <f>(O129-P129)/O129</f>
        <v>5.9348139225212343E-2</v>
      </c>
      <c r="Z129" s="2">
        <f>P129/M129</f>
        <v>2.7157537475252194</v>
      </c>
    </row>
    <row r="130" spans="1:26" x14ac:dyDescent="0.45">
      <c r="A130" t="s">
        <v>245</v>
      </c>
      <c r="B130" t="s">
        <v>224</v>
      </c>
      <c r="C130" t="s">
        <v>244</v>
      </c>
      <c r="D130" t="s">
        <v>34</v>
      </c>
      <c r="E130" t="s">
        <v>35</v>
      </c>
      <c r="F130">
        <v>708</v>
      </c>
      <c r="G130">
        <v>300596</v>
      </c>
      <c r="H130" s="1">
        <v>0.152</v>
      </c>
      <c r="I130">
        <v>3682</v>
      </c>
      <c r="J130">
        <v>67588</v>
      </c>
      <c r="K130" s="10">
        <v>0.34599999999999997</v>
      </c>
      <c r="L130">
        <v>22</v>
      </c>
      <c r="M130">
        <v>95463</v>
      </c>
      <c r="O130">
        <v>275667</v>
      </c>
      <c r="P130">
        <v>260707</v>
      </c>
      <c r="Q130" s="1">
        <v>0.20100000000000001</v>
      </c>
      <c r="R130" s="1">
        <v>0.2</v>
      </c>
      <c r="S130" s="1">
        <v>0.37</v>
      </c>
      <c r="T130" s="1">
        <v>0.33200000000000002</v>
      </c>
      <c r="U130">
        <v>14350</v>
      </c>
      <c r="V130" s="1">
        <v>7.400000000000001E-2</v>
      </c>
      <c r="W130">
        <v>5341</v>
      </c>
      <c r="X130" s="1">
        <v>0</v>
      </c>
      <c r="Y130" s="1">
        <f>(O130-P130)/O130</f>
        <v>5.4268374524335521E-2</v>
      </c>
      <c r="Z130" s="2">
        <f>P130/M130</f>
        <v>2.7309743041806773</v>
      </c>
    </row>
    <row r="131" spans="1:26" x14ac:dyDescent="0.45">
      <c r="A131" t="s">
        <v>42</v>
      </c>
      <c r="B131" t="s">
        <v>43</v>
      </c>
      <c r="C131" t="s">
        <v>41</v>
      </c>
      <c r="D131" t="s">
        <v>44</v>
      </c>
      <c r="E131" t="s">
        <v>30</v>
      </c>
      <c r="F131">
        <v>768</v>
      </c>
      <c r="G131">
        <v>253188</v>
      </c>
      <c r="H131" s="1">
        <v>0.10199999999999999</v>
      </c>
      <c r="I131">
        <v>3263</v>
      </c>
      <c r="J131">
        <v>74484</v>
      </c>
      <c r="K131" s="10">
        <v>0.40100000000000002</v>
      </c>
      <c r="L131">
        <v>24</v>
      </c>
      <c r="M131">
        <v>96984</v>
      </c>
      <c r="O131">
        <v>217773</v>
      </c>
      <c r="P131">
        <v>217773</v>
      </c>
      <c r="Q131" s="1">
        <v>0.2</v>
      </c>
      <c r="R131" s="1">
        <v>0.2</v>
      </c>
      <c r="S131" s="1">
        <v>0.376</v>
      </c>
      <c r="T131" s="1">
        <v>0.29799999999999999</v>
      </c>
      <c r="U131">
        <v>14761</v>
      </c>
      <c r="V131" s="1">
        <v>7.9000000000000001E-2</v>
      </c>
      <c r="W131">
        <v>3893</v>
      </c>
      <c r="X131" s="1">
        <v>0.15</v>
      </c>
      <c r="Y131" s="1">
        <f>(O131-P131)/O131</f>
        <v>0</v>
      </c>
      <c r="Z131" s="2">
        <f>P131/M131</f>
        <v>2.2454528582034148</v>
      </c>
    </row>
    <row r="132" spans="1:26" x14ac:dyDescent="0.45">
      <c r="A132" t="s">
        <v>42</v>
      </c>
      <c r="B132" t="s">
        <v>43</v>
      </c>
      <c r="C132" t="s">
        <v>41</v>
      </c>
      <c r="D132" t="s">
        <v>44</v>
      </c>
      <c r="E132" t="s">
        <v>35</v>
      </c>
      <c r="F132">
        <v>768</v>
      </c>
      <c r="G132">
        <v>253188</v>
      </c>
      <c r="H132" s="1">
        <v>0.10100000000000001</v>
      </c>
      <c r="I132">
        <v>3263</v>
      </c>
      <c r="J132">
        <v>74484</v>
      </c>
      <c r="K132" s="10">
        <v>0.39800000000000002</v>
      </c>
      <c r="L132">
        <v>24</v>
      </c>
      <c r="M132">
        <v>96984</v>
      </c>
      <c r="O132">
        <v>243508</v>
      </c>
      <c r="P132">
        <v>253188</v>
      </c>
      <c r="Q132" s="1">
        <v>0.2</v>
      </c>
      <c r="R132" s="1">
        <v>0.2</v>
      </c>
      <c r="S132" s="1">
        <v>0.377</v>
      </c>
      <c r="T132" s="1">
        <v>0.29899999999999999</v>
      </c>
      <c r="U132">
        <v>12752</v>
      </c>
      <c r="V132" s="1">
        <v>6.8000000000000005E-2</v>
      </c>
      <c r="W132">
        <v>3893</v>
      </c>
      <c r="X132" s="1">
        <v>0.15</v>
      </c>
      <c r="Y132" s="1">
        <f>(O132-P132)/O132</f>
        <v>-3.9752287399181956E-2</v>
      </c>
      <c r="Z132" s="2">
        <f>P132/M132</f>
        <v>2.6106161841128435</v>
      </c>
    </row>
    <row r="133" spans="1:26" x14ac:dyDescent="0.45">
      <c r="A133" t="s">
        <v>121</v>
      </c>
      <c r="B133" t="s">
        <v>122</v>
      </c>
      <c r="C133" t="s">
        <v>123</v>
      </c>
      <c r="D133" t="s">
        <v>34</v>
      </c>
      <c r="E133" t="s">
        <v>30</v>
      </c>
      <c r="F133">
        <v>541</v>
      </c>
      <c r="G133">
        <v>207203</v>
      </c>
      <c r="H133" s="1">
        <v>4.4999999999999998E-2</v>
      </c>
      <c r="I133">
        <v>284</v>
      </c>
      <c r="J133">
        <v>49164</v>
      </c>
      <c r="K133" s="10">
        <v>0.47799999999999998</v>
      </c>
      <c r="L133">
        <v>15</v>
      </c>
      <c r="M133">
        <v>90877</v>
      </c>
      <c r="O133">
        <v>190099</v>
      </c>
      <c r="P133">
        <v>173758</v>
      </c>
      <c r="Q133" s="1">
        <v>0.22800000000000001</v>
      </c>
      <c r="R133" s="1">
        <v>0.21299999999999999</v>
      </c>
      <c r="S133" s="1">
        <v>0.41499999999999998</v>
      </c>
      <c r="T133" s="1">
        <v>0.35499999999999998</v>
      </c>
      <c r="U133">
        <v>16140</v>
      </c>
      <c r="V133" s="1">
        <v>0.156</v>
      </c>
      <c r="W133">
        <v>2213</v>
      </c>
      <c r="X133" s="1">
        <v>0.8909999999999999</v>
      </c>
      <c r="Y133" s="1">
        <f>(O133-P133)/O133</f>
        <v>8.5960473227107981E-2</v>
      </c>
      <c r="Z133" s="2">
        <f>P133/M133</f>
        <v>1.9120129405680204</v>
      </c>
    </row>
    <row r="134" spans="1:26" x14ac:dyDescent="0.45">
      <c r="A134" t="s">
        <v>121</v>
      </c>
      <c r="B134" t="s">
        <v>122</v>
      </c>
      <c r="C134" t="s">
        <v>123</v>
      </c>
      <c r="D134" t="s">
        <v>34</v>
      </c>
      <c r="E134" t="s">
        <v>35</v>
      </c>
      <c r="F134">
        <v>541</v>
      </c>
      <c r="G134">
        <v>207203</v>
      </c>
      <c r="H134" s="1">
        <v>4.2999999999999997E-2</v>
      </c>
      <c r="I134">
        <v>284</v>
      </c>
      <c r="J134">
        <v>49164</v>
      </c>
      <c r="K134" s="10">
        <v>0.45700000000000002</v>
      </c>
      <c r="L134">
        <v>15</v>
      </c>
      <c r="M134">
        <v>90877</v>
      </c>
      <c r="O134">
        <v>199064</v>
      </c>
      <c r="P134">
        <v>190856</v>
      </c>
      <c r="Q134" s="5">
        <v>0.27100000000000002</v>
      </c>
      <c r="R134" s="1">
        <v>0.2</v>
      </c>
      <c r="S134" s="1">
        <v>0.43799999999999989</v>
      </c>
      <c r="T134" s="5">
        <v>0.41199999999999998</v>
      </c>
      <c r="U134">
        <v>14669</v>
      </c>
      <c r="V134" s="1">
        <v>0.13500000000000001</v>
      </c>
      <c r="W134">
        <v>2213</v>
      </c>
      <c r="X134" s="1">
        <v>0.8909999999999999</v>
      </c>
      <c r="Y134" s="1">
        <f>(O134-P134)/O134</f>
        <v>4.1232970301008719E-2</v>
      </c>
      <c r="Z134" s="2">
        <f>P134/M134</f>
        <v>2.1001573555465081</v>
      </c>
    </row>
    <row r="135" spans="1:26" x14ac:dyDescent="0.45">
      <c r="A135" t="s">
        <v>313</v>
      </c>
      <c r="B135" t="s">
        <v>314</v>
      </c>
      <c r="C135" t="s">
        <v>315</v>
      </c>
      <c r="D135" t="s">
        <v>29</v>
      </c>
      <c r="E135" t="s">
        <v>30</v>
      </c>
      <c r="F135">
        <v>500</v>
      </c>
      <c r="G135">
        <v>244520</v>
      </c>
      <c r="H135" s="1">
        <v>6.9000000000000006E-2</v>
      </c>
      <c r="I135">
        <v>890</v>
      </c>
      <c r="J135">
        <v>51010</v>
      </c>
      <c r="K135" s="10">
        <v>0.439</v>
      </c>
      <c r="L135">
        <v>18</v>
      </c>
      <c r="M135">
        <v>102019</v>
      </c>
      <c r="O135">
        <v>232183</v>
      </c>
      <c r="P135">
        <v>209542</v>
      </c>
      <c r="Q135" s="1">
        <v>0.214</v>
      </c>
      <c r="R135" s="1">
        <v>0.2</v>
      </c>
      <c r="S135" s="1">
        <v>0.40699999999999997</v>
      </c>
      <c r="T135" s="1">
        <v>0.33600000000000002</v>
      </c>
      <c r="U135">
        <v>13958</v>
      </c>
      <c r="V135" s="1">
        <v>0.11700000000000001</v>
      </c>
      <c r="W135">
        <v>3484</v>
      </c>
      <c r="X135" s="1">
        <v>0.38100000000000001</v>
      </c>
      <c r="Y135" s="1">
        <f>(O135-P135)/O135</f>
        <v>9.7513599186848307E-2</v>
      </c>
      <c r="Z135" s="2">
        <f>P135/M135</f>
        <v>2.053950734667072</v>
      </c>
    </row>
    <row r="136" spans="1:26" x14ac:dyDescent="0.45">
      <c r="A136" t="s">
        <v>76</v>
      </c>
      <c r="B136" t="s">
        <v>77</v>
      </c>
      <c r="C136" t="s">
        <v>78</v>
      </c>
      <c r="D136" t="s">
        <v>60</v>
      </c>
      <c r="E136" t="s">
        <v>35</v>
      </c>
      <c r="F136">
        <v>809</v>
      </c>
      <c r="G136">
        <v>225420</v>
      </c>
      <c r="H136" s="1">
        <v>8.5999999999999993E-2</v>
      </c>
      <c r="I136">
        <v>1862</v>
      </c>
      <c r="J136">
        <v>75503</v>
      </c>
      <c r="K136" s="10">
        <v>0.42399999999999999</v>
      </c>
      <c r="L136">
        <v>19</v>
      </c>
      <c r="M136">
        <v>93329</v>
      </c>
      <c r="O136">
        <v>219860</v>
      </c>
      <c r="P136">
        <v>208479</v>
      </c>
      <c r="Q136" s="1">
        <v>0.222</v>
      </c>
      <c r="R136" s="1">
        <v>0.2</v>
      </c>
      <c r="S136" s="1">
        <v>0.40600000000000003</v>
      </c>
      <c r="T136" s="1">
        <v>0.37</v>
      </c>
      <c r="U136">
        <v>12994</v>
      </c>
      <c r="V136" s="1">
        <v>7.0000000000000007E-2</v>
      </c>
      <c r="W136">
        <v>3002</v>
      </c>
      <c r="X136" s="1">
        <v>0.46700000000000003</v>
      </c>
      <c r="Y136" s="1">
        <f>(O136-P136)/O136</f>
        <v>5.1764759392340577E-2</v>
      </c>
      <c r="Z136" s="2">
        <f>P136/M136</f>
        <v>2.2338072839096101</v>
      </c>
    </row>
    <row r="137" spans="1:26" x14ac:dyDescent="0.45">
      <c r="A137" t="s">
        <v>76</v>
      </c>
      <c r="B137" t="s">
        <v>77</v>
      </c>
      <c r="C137" t="s">
        <v>78</v>
      </c>
      <c r="D137" t="s">
        <v>60</v>
      </c>
      <c r="E137" t="s">
        <v>30</v>
      </c>
      <c r="F137">
        <v>809</v>
      </c>
      <c r="G137">
        <v>229293</v>
      </c>
      <c r="H137" s="1">
        <v>8.5999999999999993E-2</v>
      </c>
      <c r="I137">
        <v>1864</v>
      </c>
      <c r="J137">
        <v>75503</v>
      </c>
      <c r="K137" s="10">
        <v>0.42299999999999999</v>
      </c>
      <c r="L137">
        <v>19</v>
      </c>
      <c r="M137">
        <v>93329</v>
      </c>
      <c r="O137">
        <v>220655</v>
      </c>
      <c r="P137">
        <v>200588</v>
      </c>
      <c r="Q137" s="1">
        <v>0.20699999999999999</v>
      </c>
      <c r="R137" s="1">
        <v>0.2</v>
      </c>
      <c r="S137" s="1">
        <v>0.41399999999999998</v>
      </c>
      <c r="T137" s="1">
        <v>0.34899999999999998</v>
      </c>
      <c r="U137">
        <v>17540</v>
      </c>
      <c r="V137" s="1">
        <v>9.3000000000000013E-2</v>
      </c>
      <c r="W137">
        <v>3063</v>
      </c>
      <c r="X137" s="1">
        <v>0.46700000000000003</v>
      </c>
      <c r="Y137" s="1">
        <f>(O137-P137)/O137</f>
        <v>9.0942874623280684E-2</v>
      </c>
      <c r="Z137" s="2">
        <f>P137/M137</f>
        <v>2.1492569297860258</v>
      </c>
    </row>
    <row r="138" spans="1:26" x14ac:dyDescent="0.45">
      <c r="A138" t="s">
        <v>118</v>
      </c>
      <c r="B138" t="s">
        <v>77</v>
      </c>
      <c r="C138" t="s">
        <v>117</v>
      </c>
      <c r="D138" t="s">
        <v>34</v>
      </c>
      <c r="E138" t="s">
        <v>35</v>
      </c>
      <c r="F138">
        <v>809</v>
      </c>
      <c r="G138">
        <v>221965</v>
      </c>
      <c r="H138" s="1">
        <v>8.5000000000000006E-2</v>
      </c>
      <c r="I138">
        <v>1868</v>
      </c>
      <c r="J138">
        <v>75040</v>
      </c>
      <c r="K138" s="10">
        <v>0.41699999999999998</v>
      </c>
      <c r="L138">
        <v>24</v>
      </c>
      <c r="M138">
        <v>92756</v>
      </c>
      <c r="O138">
        <v>222208</v>
      </c>
      <c r="P138">
        <v>220863</v>
      </c>
      <c r="Q138" s="5">
        <v>0.255</v>
      </c>
      <c r="R138" s="1">
        <v>0.2</v>
      </c>
      <c r="S138" s="1">
        <v>0.40400000000000003</v>
      </c>
      <c r="T138" s="1">
        <v>0.4</v>
      </c>
      <c r="U138">
        <v>14989</v>
      </c>
      <c r="V138" s="1">
        <v>8.4000000000000005E-2</v>
      </c>
      <c r="W138">
        <v>2644</v>
      </c>
      <c r="X138" s="1">
        <v>0.70099999999999996</v>
      </c>
      <c r="Y138" s="1">
        <f>(O138-P138)/O138</f>
        <v>6.0528873847926264E-3</v>
      </c>
      <c r="Z138" s="2">
        <f>P138/M138</f>
        <v>2.3811182025960584</v>
      </c>
    </row>
    <row r="139" spans="1:26" x14ac:dyDescent="0.45">
      <c r="A139" t="s">
        <v>118</v>
      </c>
      <c r="B139" t="s">
        <v>77</v>
      </c>
      <c r="C139" t="s">
        <v>117</v>
      </c>
      <c r="D139" t="s">
        <v>34</v>
      </c>
      <c r="E139" t="s">
        <v>30</v>
      </c>
      <c r="F139">
        <v>809</v>
      </c>
      <c r="G139">
        <v>231872</v>
      </c>
      <c r="H139" s="1">
        <v>8.3000000000000004E-2</v>
      </c>
      <c r="I139">
        <v>1876</v>
      </c>
      <c r="J139">
        <v>75040</v>
      </c>
      <c r="K139" s="10">
        <v>0.40400000000000003</v>
      </c>
      <c r="L139">
        <v>24</v>
      </c>
      <c r="M139">
        <v>92756</v>
      </c>
      <c r="O139">
        <v>229753</v>
      </c>
      <c r="P139">
        <v>209528</v>
      </c>
      <c r="Q139" s="1">
        <v>0.23899999999999999</v>
      </c>
      <c r="R139" s="1">
        <v>0.2</v>
      </c>
      <c r="S139" s="1">
        <v>0.42599999999999999</v>
      </c>
      <c r="T139" s="1">
        <v>0.36399999999999999</v>
      </c>
      <c r="U139">
        <v>19367</v>
      </c>
      <c r="V139" s="1">
        <v>0.105</v>
      </c>
      <c r="W139">
        <v>3121</v>
      </c>
      <c r="X139" s="1">
        <v>0.46700000000000003</v>
      </c>
      <c r="Y139" s="1">
        <f>(O139-P139)/O139</f>
        <v>8.802931844197899E-2</v>
      </c>
      <c r="Z139" s="2">
        <f>P139/M139</f>
        <v>2.2589158652809522</v>
      </c>
    </row>
    <row r="140" spans="1:26" x14ac:dyDescent="0.45">
      <c r="A140" t="s">
        <v>405</v>
      </c>
      <c r="B140" t="s">
        <v>406</v>
      </c>
      <c r="C140" t="s">
        <v>407</v>
      </c>
      <c r="D140" t="s">
        <v>60</v>
      </c>
      <c r="E140" t="s">
        <v>30</v>
      </c>
      <c r="F140">
        <v>442</v>
      </c>
      <c r="G140">
        <v>308498</v>
      </c>
      <c r="H140" s="1">
        <v>0.125</v>
      </c>
      <c r="I140">
        <v>2237</v>
      </c>
      <c r="J140">
        <v>45380</v>
      </c>
      <c r="K140" s="10">
        <v>0.35699999999999998</v>
      </c>
      <c r="L140">
        <v>18</v>
      </c>
      <c r="M140">
        <v>102669</v>
      </c>
      <c r="O140">
        <v>287527</v>
      </c>
      <c r="P140">
        <v>262893</v>
      </c>
      <c r="Q140" s="1">
        <v>0.20300000000000001</v>
      </c>
      <c r="R140" s="1">
        <v>0.2</v>
      </c>
      <c r="S140" s="1">
        <v>0.41</v>
      </c>
      <c r="T140" s="1">
        <v>0.34899999999999998</v>
      </c>
      <c r="U140">
        <v>19199</v>
      </c>
      <c r="V140" s="1">
        <v>0.151</v>
      </c>
      <c r="W140">
        <v>5641</v>
      </c>
      <c r="X140" s="1">
        <v>0</v>
      </c>
      <c r="Y140" s="1">
        <f>(O140-P140)/O140</f>
        <v>8.5675432220278444E-2</v>
      </c>
      <c r="Z140" s="2">
        <f>P140/M140</f>
        <v>2.5605879087163603</v>
      </c>
    </row>
    <row r="141" spans="1:26" x14ac:dyDescent="0.45">
      <c r="A141" t="s">
        <v>180</v>
      </c>
      <c r="B141" t="s">
        <v>181</v>
      </c>
      <c r="C141" t="s">
        <v>171</v>
      </c>
      <c r="D141" t="s">
        <v>182</v>
      </c>
      <c r="E141" t="s">
        <v>30</v>
      </c>
      <c r="F141">
        <v>442</v>
      </c>
      <c r="G141">
        <v>308756</v>
      </c>
      <c r="H141" s="1">
        <v>0.13</v>
      </c>
      <c r="I141">
        <v>2213</v>
      </c>
      <c r="J141">
        <v>43626</v>
      </c>
      <c r="K141" s="10">
        <v>0.36</v>
      </c>
      <c r="L141">
        <v>19</v>
      </c>
      <c r="M141">
        <v>98701</v>
      </c>
      <c r="O141">
        <v>274119</v>
      </c>
      <c r="P141">
        <v>249487</v>
      </c>
      <c r="Q141" s="1">
        <v>0.20200000000000001</v>
      </c>
      <c r="R141" s="1">
        <v>0.2</v>
      </c>
      <c r="S141" s="1">
        <v>0.40500000000000003</v>
      </c>
      <c r="T141" s="1">
        <v>0.33900000000000002</v>
      </c>
      <c r="U141">
        <v>17079</v>
      </c>
      <c r="V141" s="1">
        <v>0.14099999999999999</v>
      </c>
      <c r="W141">
        <v>5322</v>
      </c>
      <c r="X141" s="1">
        <v>0</v>
      </c>
      <c r="Y141" s="1">
        <f>(O141-P141)/O141</f>
        <v>8.9858783958791613E-2</v>
      </c>
      <c r="Z141" s="2">
        <f>P141/M141</f>
        <v>2.5277048864753144</v>
      </c>
    </row>
    <row r="142" spans="1:26" x14ac:dyDescent="0.45">
      <c r="A142" t="s">
        <v>158</v>
      </c>
      <c r="B142" t="s">
        <v>159</v>
      </c>
      <c r="C142" t="s">
        <v>157</v>
      </c>
      <c r="D142" t="s">
        <v>29</v>
      </c>
      <c r="E142" t="s">
        <v>30</v>
      </c>
      <c r="F142">
        <v>427</v>
      </c>
      <c r="G142">
        <v>300000</v>
      </c>
      <c r="H142" s="1">
        <v>9.1999999999999998E-2</v>
      </c>
      <c r="I142">
        <v>1108</v>
      </c>
      <c r="J142">
        <v>45833</v>
      </c>
      <c r="K142" s="10">
        <v>0.41</v>
      </c>
      <c r="L142">
        <v>21</v>
      </c>
      <c r="M142">
        <v>107338</v>
      </c>
      <c r="O142">
        <v>261883</v>
      </c>
      <c r="P142">
        <v>239997</v>
      </c>
      <c r="Q142" s="1">
        <v>0.185</v>
      </c>
      <c r="R142" s="1">
        <v>0.2</v>
      </c>
      <c r="S142" s="1">
        <v>0.379</v>
      </c>
      <c r="T142" s="1">
        <v>0.32</v>
      </c>
      <c r="U142">
        <v>15834</v>
      </c>
      <c r="V142" s="1">
        <v>0.13100000000000001</v>
      </c>
      <c r="W142">
        <v>5059</v>
      </c>
      <c r="X142" s="1">
        <v>0</v>
      </c>
      <c r="Y142" s="1">
        <f>(O142-P142)/O142</f>
        <v>8.3571671318871402E-2</v>
      </c>
      <c r="Z142" s="2">
        <f>P142/M142</f>
        <v>2.2358996813803125</v>
      </c>
    </row>
    <row r="143" spans="1:26" x14ac:dyDescent="0.45">
      <c r="A143" t="s">
        <v>437</v>
      </c>
      <c r="B143" t="s">
        <v>438</v>
      </c>
      <c r="C143" t="s">
        <v>434</v>
      </c>
      <c r="D143" t="s">
        <v>44</v>
      </c>
      <c r="E143" t="s">
        <v>30</v>
      </c>
      <c r="F143">
        <v>536</v>
      </c>
      <c r="G143">
        <v>268033</v>
      </c>
      <c r="H143" s="1">
        <v>0.106</v>
      </c>
      <c r="I143">
        <v>2114</v>
      </c>
      <c r="J143">
        <v>57247</v>
      </c>
      <c r="K143" s="10">
        <v>0.39100000000000001</v>
      </c>
      <c r="L143">
        <v>20</v>
      </c>
      <c r="M143">
        <v>106805</v>
      </c>
      <c r="O143">
        <v>272861</v>
      </c>
      <c r="P143">
        <v>239562</v>
      </c>
      <c r="Q143" s="1">
        <v>0.221</v>
      </c>
      <c r="R143" s="1">
        <v>0.22</v>
      </c>
      <c r="S143" s="1">
        <v>0.41699999999999998</v>
      </c>
      <c r="T143" s="1">
        <v>0.32800000000000001</v>
      </c>
      <c r="U143">
        <v>14126</v>
      </c>
      <c r="V143" s="1">
        <v>9.6000000000000002E-2</v>
      </c>
      <c r="W143">
        <v>4521</v>
      </c>
      <c r="X143" s="1">
        <v>0</v>
      </c>
      <c r="Y143" s="1">
        <f>(O143-P143)/O143</f>
        <v>0.12203649477206344</v>
      </c>
      <c r="Z143" s="2">
        <f>P143/M143</f>
        <v>2.2429848789850664</v>
      </c>
    </row>
    <row r="144" spans="1:26" x14ac:dyDescent="0.45">
      <c r="A144" t="s">
        <v>437</v>
      </c>
      <c r="B144" t="s">
        <v>438</v>
      </c>
      <c r="C144" t="s">
        <v>434</v>
      </c>
      <c r="D144" t="s">
        <v>44</v>
      </c>
      <c r="E144" t="s">
        <v>35</v>
      </c>
      <c r="F144">
        <v>536</v>
      </c>
      <c r="G144">
        <v>268033</v>
      </c>
      <c r="H144" s="1">
        <v>0.106</v>
      </c>
      <c r="I144">
        <v>2124</v>
      </c>
      <c r="J144">
        <v>57247</v>
      </c>
      <c r="K144" s="10">
        <v>0.39</v>
      </c>
      <c r="L144">
        <v>20</v>
      </c>
      <c r="M144">
        <v>106805</v>
      </c>
      <c r="O144">
        <v>274154</v>
      </c>
      <c r="P144">
        <v>240697</v>
      </c>
      <c r="Q144" s="1">
        <v>0.223</v>
      </c>
      <c r="R144" s="1">
        <v>0.22</v>
      </c>
      <c r="S144" s="1">
        <v>0.41799999999999998</v>
      </c>
      <c r="T144" s="1">
        <v>0.32900000000000001</v>
      </c>
      <c r="U144">
        <v>13182</v>
      </c>
      <c r="V144" s="1">
        <v>8.900000000000001E-2</v>
      </c>
      <c r="W144">
        <v>4521</v>
      </c>
      <c r="X144" s="1">
        <v>0</v>
      </c>
      <c r="Y144" s="1">
        <f>(O144-P144)/O144</f>
        <v>0.12203724913734616</v>
      </c>
      <c r="Z144" s="2">
        <f>P144/M144</f>
        <v>2.2536117222976451</v>
      </c>
    </row>
    <row r="145" spans="1:26" x14ac:dyDescent="0.45">
      <c r="A145" t="s">
        <v>160</v>
      </c>
      <c r="B145" t="s">
        <v>161</v>
      </c>
      <c r="C145" t="s">
        <v>162</v>
      </c>
      <c r="D145" t="s">
        <v>163</v>
      </c>
      <c r="E145" t="s">
        <v>30</v>
      </c>
      <c r="F145">
        <v>751</v>
      </c>
      <c r="G145">
        <v>220746</v>
      </c>
      <c r="H145" s="1">
        <v>8.199999999999999E-2</v>
      </c>
      <c r="I145">
        <v>1507</v>
      </c>
      <c r="J145">
        <v>75957</v>
      </c>
      <c r="K145" s="10">
        <v>0.46200000000000002</v>
      </c>
      <c r="L145">
        <v>25</v>
      </c>
      <c r="M145">
        <v>101141</v>
      </c>
      <c r="O145">
        <v>218929</v>
      </c>
      <c r="P145">
        <v>202044</v>
      </c>
      <c r="Q145" s="1">
        <v>0.20499999999999999</v>
      </c>
      <c r="R145" s="1">
        <v>0.2</v>
      </c>
      <c r="S145" s="1">
        <v>0.36199999999999999</v>
      </c>
      <c r="T145" s="1">
        <v>0.30199999999999999</v>
      </c>
      <c r="U145">
        <v>12522</v>
      </c>
      <c r="V145" s="1">
        <v>7.0000000000000007E-2</v>
      </c>
      <c r="W145">
        <v>2796</v>
      </c>
      <c r="X145" s="1">
        <v>0.48099999999999998</v>
      </c>
      <c r="Y145" s="1">
        <f>(O145-P145)/O145</f>
        <v>7.7125460765819054E-2</v>
      </c>
      <c r="Z145" s="2">
        <f>P145/M145</f>
        <v>1.9976468494478006</v>
      </c>
    </row>
    <row r="146" spans="1:26" x14ac:dyDescent="0.45">
      <c r="A146" t="s">
        <v>160</v>
      </c>
      <c r="B146" t="s">
        <v>161</v>
      </c>
      <c r="C146" t="s">
        <v>162</v>
      </c>
      <c r="D146" t="s">
        <v>163</v>
      </c>
      <c r="E146" t="s">
        <v>30</v>
      </c>
      <c r="F146">
        <v>751</v>
      </c>
      <c r="G146">
        <v>220746</v>
      </c>
      <c r="H146">
        <v>8.199999999999999E-2</v>
      </c>
      <c r="I146">
        <v>1507</v>
      </c>
      <c r="J146">
        <v>75957</v>
      </c>
      <c r="K146" s="10">
        <v>0.46200000000000002</v>
      </c>
      <c r="L146">
        <v>25</v>
      </c>
      <c r="M146">
        <v>101141</v>
      </c>
      <c r="O146">
        <v>218929</v>
      </c>
      <c r="P146">
        <v>202044</v>
      </c>
      <c r="Q146">
        <v>0.20499999999999999</v>
      </c>
      <c r="R146">
        <v>0.2</v>
      </c>
      <c r="S146">
        <v>0.36199999999999999</v>
      </c>
      <c r="T146">
        <v>0.30199999999999999</v>
      </c>
      <c r="U146">
        <v>12522</v>
      </c>
      <c r="V146">
        <v>7.0000000000000007E-2</v>
      </c>
      <c r="W146">
        <v>2796</v>
      </c>
      <c r="X146">
        <v>0.48099999999999998</v>
      </c>
      <c r="Y146" s="1">
        <f>(O146-P146)/O146</f>
        <v>7.7125460765819054E-2</v>
      </c>
      <c r="Z146" s="2">
        <f>P146/M146</f>
        <v>1.9976468494478006</v>
      </c>
    </row>
    <row r="147" spans="1:26" x14ac:dyDescent="0.45">
      <c r="A147" t="s">
        <v>268</v>
      </c>
      <c r="B147" t="s">
        <v>269</v>
      </c>
      <c r="C147" t="s">
        <v>260</v>
      </c>
      <c r="D147" t="s">
        <v>204</v>
      </c>
      <c r="E147" t="s">
        <v>30</v>
      </c>
      <c r="F147">
        <v>743</v>
      </c>
      <c r="G147">
        <v>218078</v>
      </c>
      <c r="H147" s="4">
        <v>5.5E-2</v>
      </c>
      <c r="I147">
        <v>984</v>
      </c>
      <c r="J147">
        <v>71217</v>
      </c>
      <c r="K147" s="10">
        <v>0.439</v>
      </c>
      <c r="L147">
        <v>23</v>
      </c>
      <c r="M147">
        <v>95851</v>
      </c>
      <c r="O147">
        <v>218350</v>
      </c>
      <c r="P147">
        <v>197521</v>
      </c>
      <c r="Q147" s="4">
        <v>0.20399999999999999</v>
      </c>
      <c r="R147" s="3">
        <v>0.2</v>
      </c>
      <c r="S147" s="1">
        <v>0.40200000000000002</v>
      </c>
      <c r="T147" s="1">
        <v>0.33100000000000002</v>
      </c>
      <c r="U147">
        <v>22360</v>
      </c>
      <c r="V147" s="4">
        <v>0.13800000000000001</v>
      </c>
      <c r="W147">
        <v>2550</v>
      </c>
      <c r="X147" s="4">
        <v>0.69099999999999995</v>
      </c>
      <c r="Y147" s="1">
        <f>(O147-P147)/O147</f>
        <v>9.5392718113121139E-2</v>
      </c>
      <c r="Z147" s="2">
        <f>P147/M147</f>
        <v>2.0607088084631355</v>
      </c>
    </row>
    <row r="148" spans="1:26" x14ac:dyDescent="0.45">
      <c r="A148" t="s">
        <v>268</v>
      </c>
      <c r="B148" t="s">
        <v>269</v>
      </c>
      <c r="C148" t="s">
        <v>260</v>
      </c>
      <c r="D148" t="s">
        <v>204</v>
      </c>
      <c r="E148" t="s">
        <v>35</v>
      </c>
      <c r="F148">
        <v>743</v>
      </c>
      <c r="G148">
        <v>218078</v>
      </c>
      <c r="H148" s="4">
        <v>5.5E-2</v>
      </c>
      <c r="I148">
        <v>984</v>
      </c>
      <c r="J148">
        <v>71217</v>
      </c>
      <c r="K148" s="10">
        <v>0.439</v>
      </c>
      <c r="L148">
        <v>23</v>
      </c>
      <c r="M148">
        <v>95851</v>
      </c>
      <c r="O148">
        <v>219141</v>
      </c>
      <c r="P148">
        <v>198312</v>
      </c>
      <c r="Q148" s="4">
        <v>0.20499999999999999</v>
      </c>
      <c r="R148" s="3">
        <v>0.2</v>
      </c>
      <c r="S148" s="1">
        <v>0.40200000000000002</v>
      </c>
      <c r="T148" s="1">
        <v>0.33100000000000002</v>
      </c>
      <c r="U148">
        <v>21336</v>
      </c>
      <c r="V148" s="4">
        <v>0.13100000000000001</v>
      </c>
      <c r="W148">
        <v>2550</v>
      </c>
      <c r="X148" s="4">
        <v>0.69099999999999995</v>
      </c>
      <c r="Y148" s="1">
        <f>(O148-P148)/O148</f>
        <v>9.5048393500075296E-2</v>
      </c>
      <c r="Z148" s="2">
        <f>P148/M148</f>
        <v>2.0689612001961377</v>
      </c>
    </row>
    <row r="149" spans="1:26" x14ac:dyDescent="0.45">
      <c r="A149" t="s">
        <v>303</v>
      </c>
      <c r="B149" t="s">
        <v>304</v>
      </c>
      <c r="C149" t="s">
        <v>301</v>
      </c>
      <c r="D149" t="s">
        <v>34</v>
      </c>
      <c r="E149" t="s">
        <v>30</v>
      </c>
      <c r="F149">
        <v>443</v>
      </c>
      <c r="G149">
        <v>248192</v>
      </c>
      <c r="H149" s="1">
        <v>6.8000000000000005E-2</v>
      </c>
      <c r="I149">
        <v>1165</v>
      </c>
      <c r="J149">
        <v>43930</v>
      </c>
      <c r="K149" s="10">
        <v>0.41199999999999998</v>
      </c>
      <c r="L149">
        <v>20</v>
      </c>
      <c r="M149">
        <v>99165</v>
      </c>
      <c r="O149">
        <v>240959</v>
      </c>
      <c r="P149">
        <v>221344</v>
      </c>
      <c r="Q149" s="1">
        <v>0.221</v>
      </c>
      <c r="R149" s="1">
        <v>0.20899999999999999</v>
      </c>
      <c r="S149" s="1">
        <v>0.43099999999999999</v>
      </c>
      <c r="T149" s="1">
        <v>0.374</v>
      </c>
      <c r="U149">
        <v>14065</v>
      </c>
      <c r="V149" s="1">
        <v>0.13500000000000001</v>
      </c>
      <c r="W149">
        <v>3403</v>
      </c>
      <c r="X149" s="1">
        <v>0.39300000000000002</v>
      </c>
      <c r="Y149" s="1">
        <f>(O149-P149)/O149</f>
        <v>8.1403890288389305E-2</v>
      </c>
      <c r="Z149" s="2">
        <f>P149/M149</f>
        <v>2.2320778500478999</v>
      </c>
    </row>
    <row r="150" spans="1:26" x14ac:dyDescent="0.45">
      <c r="A150" t="s">
        <v>303</v>
      </c>
      <c r="B150" t="s">
        <v>304</v>
      </c>
      <c r="C150" t="s">
        <v>301</v>
      </c>
      <c r="D150" t="s">
        <v>34</v>
      </c>
      <c r="E150" t="s">
        <v>35</v>
      </c>
      <c r="F150">
        <v>443</v>
      </c>
      <c r="G150">
        <v>248192</v>
      </c>
      <c r="H150" s="1">
        <v>6.7000000000000004E-2</v>
      </c>
      <c r="I150">
        <v>1165</v>
      </c>
      <c r="J150">
        <v>43930</v>
      </c>
      <c r="K150" s="10">
        <v>0.40699999999999997</v>
      </c>
      <c r="L150">
        <v>20</v>
      </c>
      <c r="M150">
        <v>99165</v>
      </c>
      <c r="O150">
        <v>243638</v>
      </c>
      <c r="P150">
        <v>224023</v>
      </c>
      <c r="Q150" s="1">
        <v>0.22500000000000001</v>
      </c>
      <c r="R150" s="1">
        <v>0.20899999999999999</v>
      </c>
      <c r="S150" s="1">
        <v>0.434</v>
      </c>
      <c r="T150" s="1">
        <v>0.377</v>
      </c>
      <c r="U150">
        <v>12936</v>
      </c>
      <c r="V150" s="1">
        <v>0.122</v>
      </c>
      <c r="W150">
        <v>3403</v>
      </c>
      <c r="X150" s="1">
        <v>0.39300000000000002</v>
      </c>
      <c r="Y150" s="1">
        <f>(O150-P150)/O150</f>
        <v>8.0508787627545791E-2</v>
      </c>
      <c r="Z150" s="2">
        <f>P150/M150</f>
        <v>2.2590934301416832</v>
      </c>
    </row>
    <row r="151" spans="1:26" x14ac:dyDescent="0.45">
      <c r="A151" t="s">
        <v>350</v>
      </c>
      <c r="B151" t="s">
        <v>304</v>
      </c>
      <c r="C151" t="s">
        <v>343</v>
      </c>
      <c r="D151" t="s">
        <v>34</v>
      </c>
      <c r="E151" t="s">
        <v>30</v>
      </c>
      <c r="F151">
        <v>443</v>
      </c>
      <c r="G151">
        <v>248192</v>
      </c>
      <c r="H151" s="1">
        <v>6.7000000000000004E-2</v>
      </c>
      <c r="I151">
        <v>1165</v>
      </c>
      <c r="J151">
        <v>46037</v>
      </c>
      <c r="K151" s="10">
        <v>0.42499999999999999</v>
      </c>
      <c r="L151">
        <v>20</v>
      </c>
      <c r="M151">
        <v>103922</v>
      </c>
      <c r="O151">
        <v>244442</v>
      </c>
      <c r="P151">
        <v>227661</v>
      </c>
      <c r="Q151" s="1">
        <v>0.20899999999999999</v>
      </c>
      <c r="R151" s="1">
        <v>0.20899999999999999</v>
      </c>
      <c r="S151" s="1">
        <v>0.41299999999999998</v>
      </c>
      <c r="T151" s="1">
        <v>0.36399999999999999</v>
      </c>
      <c r="U151">
        <v>14195</v>
      </c>
      <c r="V151" s="1">
        <v>0.13400000000000001</v>
      </c>
      <c r="W151">
        <v>3827</v>
      </c>
      <c r="X151" s="1">
        <v>0.39300000000000002</v>
      </c>
      <c r="Y151" s="1">
        <f>(O151-P151)/O151</f>
        <v>6.8650231956865024E-2</v>
      </c>
      <c r="Z151" s="2">
        <f>P151/M151</f>
        <v>2.1906910952445102</v>
      </c>
    </row>
    <row r="152" spans="1:26" x14ac:dyDescent="0.45">
      <c r="A152" t="s">
        <v>350</v>
      </c>
      <c r="B152" t="s">
        <v>304</v>
      </c>
      <c r="C152" t="s">
        <v>343</v>
      </c>
      <c r="D152" t="s">
        <v>34</v>
      </c>
      <c r="E152" t="s">
        <v>35</v>
      </c>
      <c r="F152">
        <v>443</v>
      </c>
      <c r="G152">
        <v>248192</v>
      </c>
      <c r="H152" s="1">
        <v>6.6000000000000003E-2</v>
      </c>
      <c r="I152">
        <v>1165</v>
      </c>
      <c r="J152">
        <v>46037</v>
      </c>
      <c r="K152" s="10">
        <v>0.42099999999999999</v>
      </c>
      <c r="L152">
        <v>20</v>
      </c>
      <c r="M152">
        <v>103922</v>
      </c>
      <c r="O152">
        <v>247071</v>
      </c>
      <c r="P152">
        <v>230291</v>
      </c>
      <c r="Q152" s="1">
        <v>0.21299999999999999</v>
      </c>
      <c r="R152" s="1">
        <v>0.20899999999999999</v>
      </c>
      <c r="S152" s="1">
        <v>0.41599999999999998</v>
      </c>
      <c r="T152" s="1">
        <v>0.36699999999999999</v>
      </c>
      <c r="U152">
        <v>12865</v>
      </c>
      <c r="V152" s="1">
        <v>0.12</v>
      </c>
      <c r="W152">
        <v>3827</v>
      </c>
      <c r="X152" s="1">
        <v>0.39300000000000002</v>
      </c>
      <c r="Y152" s="1">
        <f>(O152-P152)/O152</f>
        <v>6.7915700345244884E-2</v>
      </c>
      <c r="Z152" s="2">
        <f>P152/M152</f>
        <v>2.2159985373645621</v>
      </c>
    </row>
    <row r="153" spans="1:26" x14ac:dyDescent="0.45">
      <c r="A153" t="s">
        <v>286</v>
      </c>
      <c r="B153" t="s">
        <v>287</v>
      </c>
      <c r="C153" t="s">
        <v>284</v>
      </c>
      <c r="D153" t="s">
        <v>204</v>
      </c>
      <c r="E153" t="s">
        <v>30</v>
      </c>
      <c r="F153">
        <v>267</v>
      </c>
      <c r="G153">
        <v>202670</v>
      </c>
      <c r="H153" s="1">
        <v>9.6999999999999989E-2</v>
      </c>
      <c r="I153">
        <v>472</v>
      </c>
      <c r="J153">
        <v>23759</v>
      </c>
      <c r="K153" s="10">
        <v>0.43099999999999999</v>
      </c>
      <c r="L153">
        <v>11</v>
      </c>
      <c r="M153">
        <v>88986</v>
      </c>
      <c r="O153">
        <v>206466</v>
      </c>
      <c r="P153">
        <v>183907</v>
      </c>
      <c r="Q153" s="1">
        <v>0.20499999999999999</v>
      </c>
      <c r="R153" s="1">
        <v>0.2</v>
      </c>
      <c r="S153" s="1">
        <v>0.39600000000000002</v>
      </c>
      <c r="T153" s="1">
        <v>0.32500000000000001</v>
      </c>
      <c r="U153">
        <v>9356</v>
      </c>
      <c r="V153" s="1">
        <v>0.16900000000000001</v>
      </c>
      <c r="W153">
        <v>2784</v>
      </c>
      <c r="X153" s="1">
        <v>0.621</v>
      </c>
      <c r="Y153" s="1">
        <f>(O153-P153)/O153</f>
        <v>0.10926254201660322</v>
      </c>
      <c r="Z153" s="2">
        <f>P153/M153</f>
        <v>2.0666958847459149</v>
      </c>
    </row>
    <row r="154" spans="1:26" x14ac:dyDescent="0.45">
      <c r="A154" t="s">
        <v>286</v>
      </c>
      <c r="B154" t="s">
        <v>287</v>
      </c>
      <c r="C154" t="s">
        <v>284</v>
      </c>
      <c r="D154" t="s">
        <v>204</v>
      </c>
      <c r="E154" t="s">
        <v>35</v>
      </c>
      <c r="F154">
        <v>267</v>
      </c>
      <c r="G154">
        <v>202670</v>
      </c>
      <c r="H154" s="1">
        <v>9.6999999999999989E-2</v>
      </c>
      <c r="I154">
        <v>488</v>
      </c>
      <c r="J154">
        <v>23759</v>
      </c>
      <c r="K154" s="10">
        <v>0.41599999999999998</v>
      </c>
      <c r="L154">
        <v>11</v>
      </c>
      <c r="M154">
        <v>88986</v>
      </c>
      <c r="O154">
        <v>213794</v>
      </c>
      <c r="P154">
        <v>191234</v>
      </c>
      <c r="Q154" s="1">
        <v>0.217</v>
      </c>
      <c r="R154" s="1">
        <v>0.2</v>
      </c>
      <c r="S154" s="1">
        <v>0.4</v>
      </c>
      <c r="T154" s="1">
        <v>0.33</v>
      </c>
      <c r="U154">
        <v>4512</v>
      </c>
      <c r="V154" s="1">
        <v>7.8E-2</v>
      </c>
      <c r="W154">
        <v>2784</v>
      </c>
      <c r="X154" s="1">
        <v>0.621</v>
      </c>
      <c r="Y154" s="1">
        <f>(O154-P154)/O154</f>
        <v>0.10552213813296912</v>
      </c>
      <c r="Z154" s="2">
        <f>P154/M154</f>
        <v>2.1490346796125235</v>
      </c>
    </row>
    <row r="155" spans="1:26" x14ac:dyDescent="0.45">
      <c r="A155" t="s">
        <v>397</v>
      </c>
      <c r="B155" t="s">
        <v>398</v>
      </c>
      <c r="C155" t="s">
        <v>399</v>
      </c>
      <c r="D155" t="s">
        <v>204</v>
      </c>
      <c r="E155" t="s">
        <v>30</v>
      </c>
      <c r="F155">
        <v>267</v>
      </c>
      <c r="G155">
        <v>202670</v>
      </c>
      <c r="H155" s="1">
        <v>9.6999999999999989E-2</v>
      </c>
      <c r="I155">
        <v>472</v>
      </c>
      <c r="J155">
        <v>23759</v>
      </c>
      <c r="K155" s="10">
        <v>0.43099999999999999</v>
      </c>
      <c r="L155">
        <v>11</v>
      </c>
      <c r="M155">
        <v>88986</v>
      </c>
      <c r="O155">
        <v>206466</v>
      </c>
      <c r="P155">
        <v>183907</v>
      </c>
      <c r="Q155" s="1">
        <v>0.20100000000000001</v>
      </c>
      <c r="R155" s="1">
        <v>0.2</v>
      </c>
      <c r="S155" s="1">
        <v>0.39700000000000002</v>
      </c>
      <c r="T155" s="1">
        <v>0.32500000000000001</v>
      </c>
      <c r="U155">
        <v>9727</v>
      </c>
      <c r="V155" s="1">
        <v>0.17799999999999999</v>
      </c>
      <c r="W155">
        <v>2784</v>
      </c>
      <c r="X155" s="1">
        <v>0.621</v>
      </c>
      <c r="Y155" s="1">
        <f>(O155-P155)/O155</f>
        <v>0.10926254201660322</v>
      </c>
      <c r="Z155" s="2">
        <f>P155/M155</f>
        <v>2.0666958847459149</v>
      </c>
    </row>
    <row r="156" spans="1:26" x14ac:dyDescent="0.45">
      <c r="A156" t="s">
        <v>397</v>
      </c>
      <c r="B156" t="s">
        <v>398</v>
      </c>
      <c r="C156" t="s">
        <v>399</v>
      </c>
      <c r="D156" t="s">
        <v>204</v>
      </c>
      <c r="E156" t="s">
        <v>35</v>
      </c>
      <c r="F156">
        <v>267</v>
      </c>
      <c r="G156">
        <v>202670</v>
      </c>
      <c r="H156" s="1">
        <v>9.5000000000000001E-2</v>
      </c>
      <c r="I156">
        <v>472</v>
      </c>
      <c r="J156">
        <v>23759</v>
      </c>
      <c r="K156" s="10">
        <v>0.42</v>
      </c>
      <c r="L156">
        <v>11</v>
      </c>
      <c r="M156">
        <v>88986</v>
      </c>
      <c r="O156">
        <v>211983</v>
      </c>
      <c r="P156">
        <v>189423</v>
      </c>
      <c r="Q156" s="1">
        <v>0.216</v>
      </c>
      <c r="R156" s="1">
        <v>0.2</v>
      </c>
      <c r="S156" s="1">
        <v>0.40300000000000002</v>
      </c>
      <c r="T156" s="1">
        <v>0.33300000000000002</v>
      </c>
      <c r="U156">
        <v>5635</v>
      </c>
      <c r="V156" s="1">
        <v>0.1</v>
      </c>
      <c r="W156">
        <v>2784</v>
      </c>
      <c r="X156" s="1">
        <v>0.621</v>
      </c>
      <c r="Y156" s="1">
        <f>(O156-P156)/O156</f>
        <v>0.1064236283098173</v>
      </c>
      <c r="Z156" s="2">
        <f>P156/M156</f>
        <v>2.1286831636437191</v>
      </c>
    </row>
    <row r="157" spans="1:26" x14ac:dyDescent="0.45">
      <c r="A157" t="s">
        <v>394</v>
      </c>
      <c r="B157" t="s">
        <v>395</v>
      </c>
      <c r="C157" t="s">
        <v>391</v>
      </c>
      <c r="D157" t="s">
        <v>396</v>
      </c>
      <c r="E157" t="s">
        <v>30</v>
      </c>
      <c r="F157">
        <v>530</v>
      </c>
      <c r="G157">
        <v>205179</v>
      </c>
      <c r="H157" s="1">
        <v>6.6000000000000003E-2</v>
      </c>
      <c r="I157">
        <v>345</v>
      </c>
      <c r="J157">
        <v>46365</v>
      </c>
      <c r="K157" s="10">
        <v>0.40699999999999997</v>
      </c>
      <c r="L157">
        <v>12</v>
      </c>
      <c r="M157">
        <v>87481</v>
      </c>
      <c r="O157">
        <v>214814</v>
      </c>
      <c r="P157">
        <v>190830</v>
      </c>
      <c r="Q157" s="1">
        <v>0.22</v>
      </c>
      <c r="R157" s="1">
        <v>0.2</v>
      </c>
      <c r="S157" s="1">
        <v>0.441</v>
      </c>
      <c r="T157" s="1">
        <v>0.36499999999999999</v>
      </c>
      <c r="U157">
        <v>16246</v>
      </c>
      <c r="V157" s="1">
        <v>0.13600000000000001</v>
      </c>
      <c r="W157">
        <v>2707</v>
      </c>
      <c r="X157" s="1">
        <v>0.6409999999999999</v>
      </c>
      <c r="Y157" s="1">
        <f>(O157-P157)/O157</f>
        <v>0.11165007867271221</v>
      </c>
      <c r="Z157" s="2">
        <f>P157/M157</f>
        <v>2.1813879585281377</v>
      </c>
    </row>
    <row r="158" spans="1:26" x14ac:dyDescent="0.45">
      <c r="A158" t="s">
        <v>124</v>
      </c>
      <c r="B158" t="s">
        <v>125</v>
      </c>
      <c r="C158" t="s">
        <v>123</v>
      </c>
      <c r="D158" t="s">
        <v>34</v>
      </c>
      <c r="E158" t="s">
        <v>30</v>
      </c>
      <c r="F158">
        <v>672</v>
      </c>
      <c r="G158">
        <v>284567</v>
      </c>
      <c r="H158" s="1">
        <v>0.11799999999999999</v>
      </c>
      <c r="I158">
        <v>3515</v>
      </c>
      <c r="J158">
        <v>68283</v>
      </c>
      <c r="K158" s="10">
        <v>0.36699999999999999</v>
      </c>
      <c r="L158">
        <v>22</v>
      </c>
      <c r="M158">
        <v>101611</v>
      </c>
      <c r="O158">
        <v>277165</v>
      </c>
      <c r="P158">
        <v>257284</v>
      </c>
      <c r="Q158" s="1">
        <v>0.2</v>
      </c>
      <c r="R158" s="1">
        <v>0.2</v>
      </c>
      <c r="S158" s="1">
        <v>0.40600000000000003</v>
      </c>
      <c r="T158" s="1">
        <v>0.35399999999999998</v>
      </c>
      <c r="U158">
        <v>18584</v>
      </c>
      <c r="V158" s="1">
        <v>0.10100000000000001</v>
      </c>
      <c r="W158">
        <v>5356</v>
      </c>
      <c r="X158" s="1">
        <v>0.01</v>
      </c>
      <c r="Y158" s="1">
        <f>(O158-P158)/O158</f>
        <v>7.1729836018256277E-2</v>
      </c>
      <c r="Z158" s="2">
        <f>P158/M158</f>
        <v>2.5320486955152495</v>
      </c>
    </row>
    <row r="159" spans="1:26" x14ac:dyDescent="0.45">
      <c r="A159" t="s">
        <v>124</v>
      </c>
      <c r="B159" t="s">
        <v>125</v>
      </c>
      <c r="C159" t="s">
        <v>123</v>
      </c>
      <c r="D159" t="s">
        <v>34</v>
      </c>
      <c r="E159" t="s">
        <v>35</v>
      </c>
      <c r="F159">
        <v>672</v>
      </c>
      <c r="G159">
        <v>284567</v>
      </c>
      <c r="H159" s="1">
        <v>0.11600000000000001</v>
      </c>
      <c r="I159">
        <v>3515</v>
      </c>
      <c r="J159">
        <v>69463</v>
      </c>
      <c r="K159" s="10">
        <v>0.36799999999999999</v>
      </c>
      <c r="L159">
        <v>22</v>
      </c>
      <c r="M159">
        <v>103368</v>
      </c>
      <c r="O159">
        <v>280938</v>
      </c>
      <c r="P159">
        <v>261057</v>
      </c>
      <c r="Q159" s="1">
        <v>0.19400000000000001</v>
      </c>
      <c r="R159" s="1">
        <v>0.2</v>
      </c>
      <c r="S159" s="1">
        <v>0.40200000000000002</v>
      </c>
      <c r="T159" s="1">
        <v>0.35</v>
      </c>
      <c r="U159">
        <v>16544</v>
      </c>
      <c r="V159" s="1">
        <v>8.8000000000000009E-2</v>
      </c>
      <c r="W159">
        <v>5365</v>
      </c>
      <c r="X159" s="1">
        <v>0.01</v>
      </c>
      <c r="Y159" s="1">
        <f>(O159-P159)/O159</f>
        <v>7.0766503641372824E-2</v>
      </c>
      <c r="Z159" s="2">
        <f>P159/M159</f>
        <v>2.5255107963779895</v>
      </c>
    </row>
    <row r="160" spans="1:26" x14ac:dyDescent="0.45">
      <c r="A160" t="s">
        <v>356</v>
      </c>
      <c r="B160" t="s">
        <v>357</v>
      </c>
      <c r="C160" t="s">
        <v>352</v>
      </c>
      <c r="D160" t="s">
        <v>29</v>
      </c>
      <c r="E160" t="s">
        <v>30</v>
      </c>
      <c r="F160">
        <v>540</v>
      </c>
      <c r="G160">
        <v>226985</v>
      </c>
      <c r="H160" s="1">
        <v>4.2999999999999997E-2</v>
      </c>
      <c r="I160">
        <v>728</v>
      </c>
      <c r="J160">
        <v>53455</v>
      </c>
      <c r="K160" s="10">
        <v>0.42499999999999999</v>
      </c>
      <c r="L160">
        <v>19</v>
      </c>
      <c r="M160">
        <v>98991</v>
      </c>
      <c r="O160">
        <v>233120</v>
      </c>
      <c r="P160">
        <v>214048</v>
      </c>
      <c r="Q160" s="1">
        <v>0.23300000000000001</v>
      </c>
      <c r="R160" s="1">
        <v>0.2</v>
      </c>
      <c r="S160" s="1">
        <v>0.439</v>
      </c>
      <c r="T160" s="1">
        <v>0.38300000000000001</v>
      </c>
      <c r="U160">
        <v>20596</v>
      </c>
      <c r="V160" s="1">
        <v>0.157</v>
      </c>
      <c r="W160">
        <v>3152</v>
      </c>
      <c r="X160" s="1">
        <v>0.33600000000000002</v>
      </c>
      <c r="Y160" s="1">
        <f>(O160-P160)/O160</f>
        <v>8.1811942347288946E-2</v>
      </c>
      <c r="Z160" s="2">
        <f>P160/M160</f>
        <v>2.1622975826085198</v>
      </c>
    </row>
    <row r="161" spans="1:26" x14ac:dyDescent="0.45">
      <c r="A161" t="s">
        <v>201</v>
      </c>
      <c r="B161" t="s">
        <v>202</v>
      </c>
      <c r="C161" t="s">
        <v>203</v>
      </c>
      <c r="D161" t="s">
        <v>204</v>
      </c>
      <c r="E161" t="s">
        <v>30</v>
      </c>
      <c r="F161">
        <v>490</v>
      </c>
      <c r="G161">
        <v>191751</v>
      </c>
      <c r="H161" s="1">
        <v>8.6999999999999994E-2</v>
      </c>
      <c r="I161">
        <v>1118</v>
      </c>
      <c r="J161">
        <v>37534</v>
      </c>
      <c r="K161" s="10">
        <v>0.375</v>
      </c>
      <c r="L161">
        <v>14</v>
      </c>
      <c r="M161" s="7">
        <v>76601</v>
      </c>
      <c r="O161">
        <v>204515</v>
      </c>
      <c r="P161">
        <v>177130</v>
      </c>
      <c r="Q161" s="8">
        <v>0.28699999999999998</v>
      </c>
      <c r="R161" s="1">
        <v>0.2</v>
      </c>
      <c r="S161" s="1">
        <v>0.44299999999999989</v>
      </c>
      <c r="T161" s="1">
        <v>0.39700000000000002</v>
      </c>
      <c r="U161">
        <v>8036</v>
      </c>
      <c r="V161" s="1">
        <v>0.08</v>
      </c>
      <c r="W161">
        <v>2985</v>
      </c>
      <c r="X161" s="1">
        <v>0.44299999999999989</v>
      </c>
      <c r="Y161" s="1">
        <f>(O161-P161)/O161</f>
        <v>0.1339021587658607</v>
      </c>
      <c r="Z161" s="2">
        <f>P161/M161</f>
        <v>2.3123719011501156</v>
      </c>
    </row>
    <row r="162" spans="1:26" x14ac:dyDescent="0.45">
      <c r="A162" t="s">
        <v>149</v>
      </c>
      <c r="B162" t="s">
        <v>150</v>
      </c>
      <c r="C162" t="s">
        <v>139</v>
      </c>
      <c r="D162" t="s">
        <v>60</v>
      </c>
      <c r="E162" t="s">
        <v>30</v>
      </c>
      <c r="F162">
        <v>355</v>
      </c>
      <c r="G162">
        <v>210690</v>
      </c>
      <c r="H162" s="1">
        <v>5.7000000000000002E-2</v>
      </c>
      <c r="I162">
        <v>436</v>
      </c>
      <c r="J162">
        <v>31880</v>
      </c>
      <c r="K162" s="10">
        <v>0.436</v>
      </c>
      <c r="L162">
        <v>11</v>
      </c>
      <c r="M162">
        <v>89802</v>
      </c>
      <c r="O162">
        <v>206201</v>
      </c>
      <c r="P162">
        <v>185049</v>
      </c>
      <c r="Q162" s="1">
        <v>0.20499999999999999</v>
      </c>
      <c r="R162" s="1">
        <v>0.2</v>
      </c>
      <c r="S162" s="1">
        <v>0.39900000000000002</v>
      </c>
      <c r="T162" s="1">
        <v>0.34899999999999998</v>
      </c>
      <c r="U162">
        <v>14765</v>
      </c>
      <c r="V162" s="1">
        <v>0.2</v>
      </c>
      <c r="W162">
        <v>2712</v>
      </c>
      <c r="X162" s="1">
        <v>0.40799999999999997</v>
      </c>
      <c r="Y162" s="1">
        <f>(O162-P162)/O162</f>
        <v>0.10257952192278408</v>
      </c>
      <c r="Z162" s="2">
        <f>P162/M162</f>
        <v>2.0606333934656242</v>
      </c>
    </row>
    <row r="163" spans="1:26" x14ac:dyDescent="0.45">
      <c r="A163" t="s">
        <v>246</v>
      </c>
      <c r="B163" t="s">
        <v>150</v>
      </c>
      <c r="C163" t="s">
        <v>244</v>
      </c>
      <c r="D163" t="s">
        <v>34</v>
      </c>
      <c r="E163" t="s">
        <v>30</v>
      </c>
      <c r="F163">
        <v>355</v>
      </c>
      <c r="G163">
        <v>199590</v>
      </c>
      <c r="H163" s="1">
        <v>5.7000000000000002E-2</v>
      </c>
      <c r="I163">
        <v>441</v>
      </c>
      <c r="J163">
        <v>32039</v>
      </c>
      <c r="K163" s="10">
        <v>0.433</v>
      </c>
      <c r="L163">
        <v>11</v>
      </c>
      <c r="M163">
        <v>90252</v>
      </c>
      <c r="O163">
        <v>208338</v>
      </c>
      <c r="P163">
        <v>186474</v>
      </c>
      <c r="Q163" s="1">
        <v>0.21099999999999999</v>
      </c>
      <c r="R163" s="1">
        <v>0.2</v>
      </c>
      <c r="S163" s="1">
        <v>0.42799999999999999</v>
      </c>
      <c r="T163" s="1">
        <v>0.35599999999999998</v>
      </c>
      <c r="U163">
        <v>14940</v>
      </c>
      <c r="V163" s="1">
        <v>0.20200000000000001</v>
      </c>
      <c r="W163">
        <v>2732</v>
      </c>
      <c r="X163" s="1">
        <v>0.40799999999999997</v>
      </c>
      <c r="Y163" s="1">
        <f>(O163-P163)/O163</f>
        <v>0.10494484923537713</v>
      </c>
      <c r="Z163" s="2">
        <f>P163/M163</f>
        <v>2.0661481186012498</v>
      </c>
    </row>
    <row r="164" spans="1:26" x14ac:dyDescent="0.45">
      <c r="A164" t="s">
        <v>246</v>
      </c>
      <c r="B164" t="s">
        <v>150</v>
      </c>
      <c r="C164" t="s">
        <v>244</v>
      </c>
      <c r="D164" t="s">
        <v>34</v>
      </c>
      <c r="E164" t="s">
        <v>35</v>
      </c>
      <c r="F164">
        <v>355</v>
      </c>
      <c r="G164">
        <v>199590</v>
      </c>
      <c r="H164" s="1">
        <v>5.7000000000000002E-2</v>
      </c>
      <c r="I164">
        <v>434</v>
      </c>
      <c r="J164">
        <v>32425</v>
      </c>
      <c r="K164" s="10">
        <v>0.44600000000000001</v>
      </c>
      <c r="L164">
        <v>11</v>
      </c>
      <c r="M164">
        <v>91339</v>
      </c>
      <c r="O164">
        <v>204959</v>
      </c>
      <c r="P164">
        <v>183529</v>
      </c>
      <c r="Q164" s="1">
        <v>0.20200000000000001</v>
      </c>
      <c r="R164" s="1">
        <v>0.2</v>
      </c>
      <c r="S164" s="1">
        <v>0.41399999999999998</v>
      </c>
      <c r="T164" s="1">
        <v>0.34</v>
      </c>
      <c r="U164">
        <v>12789</v>
      </c>
      <c r="V164" s="1">
        <v>0.17599999999999999</v>
      </c>
      <c r="W164">
        <v>2732</v>
      </c>
      <c r="X164" s="1">
        <v>0.48</v>
      </c>
      <c r="Y164" s="1">
        <f>(O164-P164)/O164</f>
        <v>0.10455749686522671</v>
      </c>
      <c r="Z164" s="2">
        <f>P164/M164</f>
        <v>2.0093169401898421</v>
      </c>
    </row>
    <row r="165" spans="1:26" x14ac:dyDescent="0.45">
      <c r="A165" t="s">
        <v>57</v>
      </c>
      <c r="B165" t="s">
        <v>58</v>
      </c>
      <c r="C165" t="s">
        <v>59</v>
      </c>
      <c r="D165" t="s">
        <v>60</v>
      </c>
      <c r="E165" t="s">
        <v>30</v>
      </c>
      <c r="F165">
        <v>946</v>
      </c>
      <c r="G165">
        <v>213717</v>
      </c>
      <c r="H165" s="1">
        <v>2.3E-2</v>
      </c>
      <c r="I165">
        <v>377</v>
      </c>
      <c r="J165">
        <v>92461</v>
      </c>
      <c r="K165" s="10">
        <v>0.46</v>
      </c>
      <c r="L165">
        <v>19</v>
      </c>
      <c r="M165">
        <v>97739</v>
      </c>
      <c r="O165">
        <v>212253</v>
      </c>
      <c r="P165">
        <v>187303</v>
      </c>
      <c r="Q165" s="1">
        <v>0.23</v>
      </c>
      <c r="R165" s="1">
        <v>0.2</v>
      </c>
      <c r="S165" s="1">
        <v>0.439</v>
      </c>
      <c r="T165" s="1">
        <v>0.35599999999999998</v>
      </c>
      <c r="U165">
        <v>15373</v>
      </c>
      <c r="V165" s="1">
        <v>7.0999999999999994E-2</v>
      </c>
      <c r="W165">
        <v>2847</v>
      </c>
      <c r="X165" s="1">
        <v>0.48</v>
      </c>
      <c r="Y165" s="1">
        <f>(O165-P165)/O165</f>
        <v>0.11754839743136729</v>
      </c>
      <c r="Z165" s="2">
        <f>P165/M165</f>
        <v>1.9163588741444051</v>
      </c>
    </row>
    <row r="166" spans="1:26" x14ac:dyDescent="0.45">
      <c r="A166" t="s">
        <v>57</v>
      </c>
      <c r="B166" t="s">
        <v>58</v>
      </c>
      <c r="C166" t="s">
        <v>59</v>
      </c>
      <c r="D166" t="s">
        <v>60</v>
      </c>
      <c r="E166" t="s">
        <v>30</v>
      </c>
      <c r="F166">
        <v>946</v>
      </c>
      <c r="G166">
        <v>213717</v>
      </c>
      <c r="H166" s="1">
        <v>2.3E-2</v>
      </c>
      <c r="I166">
        <v>377</v>
      </c>
      <c r="J166">
        <v>92461</v>
      </c>
      <c r="K166" s="10">
        <v>0.46</v>
      </c>
      <c r="L166">
        <v>19</v>
      </c>
      <c r="M166">
        <v>97739</v>
      </c>
      <c r="O166">
        <v>212253</v>
      </c>
      <c r="P166">
        <v>187303</v>
      </c>
      <c r="Q166">
        <v>0.23</v>
      </c>
      <c r="R166">
        <v>0.2</v>
      </c>
      <c r="S166">
        <v>0.439</v>
      </c>
      <c r="T166">
        <v>0.35599999999999998</v>
      </c>
      <c r="U166">
        <v>15373</v>
      </c>
      <c r="V166" s="1">
        <v>7.0999999999999994E-2</v>
      </c>
      <c r="W166">
        <v>2847</v>
      </c>
      <c r="X166">
        <v>0.48</v>
      </c>
      <c r="Y166" s="1">
        <f>(O166-P166)/O166</f>
        <v>0.11754839743136729</v>
      </c>
      <c r="Z166" s="2">
        <f>P166/M166</f>
        <v>1.9163588741444051</v>
      </c>
    </row>
    <row r="167" spans="1:26" x14ac:dyDescent="0.45">
      <c r="A167" t="s">
        <v>84</v>
      </c>
      <c r="B167" t="s">
        <v>58</v>
      </c>
      <c r="C167" t="s">
        <v>85</v>
      </c>
      <c r="D167" t="s">
        <v>34</v>
      </c>
      <c r="E167" t="s">
        <v>30</v>
      </c>
      <c r="F167">
        <v>946</v>
      </c>
      <c r="G167">
        <v>213717</v>
      </c>
      <c r="H167" s="1">
        <v>2.4E-2</v>
      </c>
      <c r="I167">
        <v>384</v>
      </c>
      <c r="J167">
        <v>95042</v>
      </c>
      <c r="K167" s="10">
        <v>0.47499999999999998</v>
      </c>
      <c r="L167">
        <v>18</v>
      </c>
      <c r="M167">
        <v>100467</v>
      </c>
      <c r="O167">
        <v>211641</v>
      </c>
      <c r="P167">
        <v>188972</v>
      </c>
      <c r="Q167" s="1">
        <v>0.216</v>
      </c>
      <c r="R167" s="1">
        <v>0.2</v>
      </c>
      <c r="S167" s="1">
        <v>0.42699999999999999</v>
      </c>
      <c r="T167" s="1">
        <v>0.35099999999999998</v>
      </c>
      <c r="U167">
        <v>17058</v>
      </c>
      <c r="V167" s="1">
        <v>7.9000000000000001E-2</v>
      </c>
      <c r="W167">
        <v>2742</v>
      </c>
      <c r="X167" s="1">
        <v>0.45700000000000002</v>
      </c>
      <c r="Y167" s="1">
        <f>(O167-P167)/O167</f>
        <v>0.1071106260129181</v>
      </c>
      <c r="Z167" s="2">
        <f>P167/M167</f>
        <v>1.8809360287457573</v>
      </c>
    </row>
    <row r="168" spans="1:26" x14ac:dyDescent="0.45">
      <c r="A168" t="s">
        <v>84</v>
      </c>
      <c r="B168" t="s">
        <v>58</v>
      </c>
      <c r="C168" t="s">
        <v>85</v>
      </c>
      <c r="D168" t="s">
        <v>34</v>
      </c>
      <c r="E168" t="s">
        <v>35</v>
      </c>
      <c r="F168">
        <v>946</v>
      </c>
      <c r="G168">
        <v>213717</v>
      </c>
      <c r="H168" s="1">
        <v>2.4E-2</v>
      </c>
      <c r="I168">
        <v>384</v>
      </c>
      <c r="J168">
        <v>95023</v>
      </c>
      <c r="K168" s="10">
        <v>0.48299999999999998</v>
      </c>
      <c r="L168">
        <v>19</v>
      </c>
      <c r="M168">
        <v>100447</v>
      </c>
      <c r="O168">
        <v>207813</v>
      </c>
      <c r="P168">
        <v>185421</v>
      </c>
      <c r="Q168" s="1">
        <v>0.21</v>
      </c>
      <c r="R168" s="1">
        <v>0.2</v>
      </c>
      <c r="S168" s="1">
        <v>0.42199999999999999</v>
      </c>
      <c r="T168" s="1">
        <v>0.34499999999999997</v>
      </c>
      <c r="U168">
        <v>19369</v>
      </c>
      <c r="V168" s="1">
        <v>9.1999999999999998E-2</v>
      </c>
      <c r="W168">
        <v>2742</v>
      </c>
      <c r="X168" s="1">
        <v>0.51900000000000002</v>
      </c>
      <c r="Y168" s="1">
        <f>(O168-P168)/O168</f>
        <v>0.10775071819376074</v>
      </c>
      <c r="Z168" s="2">
        <f>P168/M168</f>
        <v>1.8459585652134958</v>
      </c>
    </row>
    <row r="169" spans="1:26" x14ac:dyDescent="0.45">
      <c r="A169" t="s">
        <v>373</v>
      </c>
      <c r="B169" t="s">
        <v>374</v>
      </c>
      <c r="C169" t="s">
        <v>366</v>
      </c>
      <c r="E169" t="s">
        <v>30</v>
      </c>
      <c r="F169">
        <v>952</v>
      </c>
      <c r="G169">
        <v>230000</v>
      </c>
      <c r="H169" s="1">
        <v>9.9000000000000005E-2</v>
      </c>
      <c r="I169">
        <v>2086</v>
      </c>
      <c r="J169">
        <v>93190</v>
      </c>
      <c r="K169" s="10">
        <v>0.44700000000000001</v>
      </c>
      <c r="L169">
        <v>25</v>
      </c>
      <c r="M169">
        <v>97888</v>
      </c>
      <c r="O169">
        <v>219216</v>
      </c>
      <c r="P169">
        <v>197616</v>
      </c>
      <c r="Q169" s="1">
        <v>0.20100000000000001</v>
      </c>
      <c r="R169" s="1">
        <v>0.2</v>
      </c>
      <c r="S169" s="1">
        <v>0.36</v>
      </c>
      <c r="T169" s="1">
        <v>0.28000000000000003</v>
      </c>
      <c r="U169">
        <v>15303</v>
      </c>
      <c r="V169" s="1">
        <v>6.7000000000000004E-2</v>
      </c>
      <c r="W169">
        <v>2573</v>
      </c>
      <c r="X169" s="1">
        <v>0.75</v>
      </c>
      <c r="Y169" s="1">
        <f>(O169-P169)/O169</f>
        <v>9.8532953798992781E-2</v>
      </c>
      <c r="Z169" s="2">
        <f>P169/M169</f>
        <v>2.018796992481203</v>
      </c>
    </row>
    <row r="170" spans="1:26" x14ac:dyDescent="0.45">
      <c r="A170" t="s">
        <v>362</v>
      </c>
      <c r="B170" t="s">
        <v>363</v>
      </c>
      <c r="C170" t="s">
        <v>364</v>
      </c>
      <c r="E170" t="s">
        <v>30</v>
      </c>
      <c r="F170">
        <v>1103</v>
      </c>
      <c r="G170">
        <v>299691</v>
      </c>
      <c r="H170" s="5">
        <v>0.17</v>
      </c>
      <c r="I170" s="7">
        <v>4474</v>
      </c>
      <c r="J170">
        <v>111238</v>
      </c>
      <c r="K170" s="10">
        <v>0.36399999999999999</v>
      </c>
      <c r="L170">
        <v>22</v>
      </c>
      <c r="M170">
        <v>100851</v>
      </c>
      <c r="O170">
        <v>276768</v>
      </c>
      <c r="P170">
        <v>260917</v>
      </c>
      <c r="Q170" s="1">
        <v>0.2</v>
      </c>
      <c r="R170" s="1">
        <v>0.2</v>
      </c>
      <c r="S170" s="1">
        <v>0.37799999999999989</v>
      </c>
      <c r="T170" s="1">
        <v>0.33500000000000002</v>
      </c>
      <c r="U170">
        <v>13544</v>
      </c>
      <c r="V170" s="1">
        <v>3.7999999999999999E-2</v>
      </c>
      <c r="W170">
        <v>5311</v>
      </c>
      <c r="X170" s="1">
        <v>9.0000000000000011E-3</v>
      </c>
      <c r="Y170" s="1">
        <f>(O170-P170)/O170</f>
        <v>5.7271794427101397E-2</v>
      </c>
      <c r="Z170" s="2">
        <f>P170/M170</f>
        <v>2.5871533252025265</v>
      </c>
    </row>
    <row r="171" spans="1:26" x14ac:dyDescent="0.45">
      <c r="A171" t="s">
        <v>383</v>
      </c>
      <c r="B171" t="s">
        <v>384</v>
      </c>
      <c r="C171" t="s">
        <v>379</v>
      </c>
      <c r="D171" t="s">
        <v>29</v>
      </c>
      <c r="E171" t="s">
        <v>30</v>
      </c>
      <c r="F171">
        <v>428</v>
      </c>
      <c r="G171">
        <v>297220</v>
      </c>
      <c r="H171" s="1">
        <v>0.105</v>
      </c>
      <c r="I171">
        <v>2902</v>
      </c>
      <c r="J171">
        <v>48140</v>
      </c>
      <c r="K171" s="10">
        <v>0.38800000000000001</v>
      </c>
      <c r="L171">
        <v>20</v>
      </c>
      <c r="M171">
        <v>112476</v>
      </c>
      <c r="O171">
        <v>289733</v>
      </c>
      <c r="P171">
        <v>266959</v>
      </c>
      <c r="Q171" s="1">
        <v>0.224</v>
      </c>
      <c r="R171" s="1">
        <v>0.2</v>
      </c>
      <c r="S171" s="1">
        <v>0.41899999999999998</v>
      </c>
      <c r="T171" s="1">
        <v>0.36299999999999999</v>
      </c>
      <c r="U171">
        <v>10380</v>
      </c>
      <c r="V171" s="1">
        <v>8.1000000000000003E-2</v>
      </c>
      <c r="W171">
        <v>5876</v>
      </c>
      <c r="X171" s="1">
        <v>0</v>
      </c>
      <c r="Y171" s="1">
        <f>(O171-P171)/O171</f>
        <v>7.8603403823520282E-2</v>
      </c>
      <c r="Z171" s="2">
        <f>P171/M171</f>
        <v>2.3734752302713469</v>
      </c>
    </row>
    <row r="172" spans="1:26" x14ac:dyDescent="0.45">
      <c r="A172" t="s">
        <v>111</v>
      </c>
      <c r="B172" t="s">
        <v>112</v>
      </c>
      <c r="C172" t="s">
        <v>110</v>
      </c>
      <c r="D172" t="s">
        <v>29</v>
      </c>
      <c r="E172" t="s">
        <v>30</v>
      </c>
      <c r="F172">
        <v>714</v>
      </c>
      <c r="G172">
        <v>212269</v>
      </c>
      <c r="H172" s="1">
        <v>3.5999999999999997E-2</v>
      </c>
      <c r="I172">
        <v>413</v>
      </c>
      <c r="J172">
        <v>74873</v>
      </c>
      <c r="K172" s="10">
        <v>0.48599999999999999</v>
      </c>
      <c r="L172">
        <v>17</v>
      </c>
      <c r="M172">
        <v>104864</v>
      </c>
      <c r="O172">
        <v>215611</v>
      </c>
      <c r="P172">
        <v>197671</v>
      </c>
      <c r="Q172" s="1">
        <v>0.20100000000000001</v>
      </c>
      <c r="R172" s="1">
        <v>0.2</v>
      </c>
      <c r="S172" s="1">
        <v>0.39200000000000002</v>
      </c>
      <c r="T172" s="1">
        <v>0.33100000000000002</v>
      </c>
      <c r="U172">
        <v>19963</v>
      </c>
      <c r="V172" s="1">
        <v>0.12</v>
      </c>
      <c r="W172">
        <v>2889</v>
      </c>
      <c r="X172" s="1">
        <v>0.51100000000000001</v>
      </c>
      <c r="Y172" s="1">
        <f>(O172-P172)/O172</f>
        <v>8.3205402321773939E-2</v>
      </c>
      <c r="Z172" s="2">
        <f>P172/M172</f>
        <v>1.8850225053402503</v>
      </c>
    </row>
    <row r="173" spans="1:26" x14ac:dyDescent="0.45">
      <c r="A173" t="s">
        <v>330</v>
      </c>
      <c r="B173" t="s">
        <v>331</v>
      </c>
      <c r="C173" t="s">
        <v>326</v>
      </c>
      <c r="D173" t="s">
        <v>332</v>
      </c>
      <c r="E173" t="s">
        <v>30</v>
      </c>
      <c r="F173">
        <v>1378</v>
      </c>
      <c r="G173">
        <v>239731</v>
      </c>
      <c r="H173" s="1">
        <v>8.5999999999999993E-2</v>
      </c>
      <c r="I173">
        <v>641</v>
      </c>
      <c r="J173" s="7">
        <v>134632</v>
      </c>
      <c r="K173" s="10">
        <v>0.40200000000000002</v>
      </c>
      <c r="L173">
        <v>20</v>
      </c>
      <c r="M173">
        <v>97701</v>
      </c>
      <c r="O173">
        <v>242979</v>
      </c>
      <c r="P173">
        <v>223367</v>
      </c>
      <c r="Q173" s="1">
        <v>0.2</v>
      </c>
      <c r="R173" s="1">
        <v>0.2</v>
      </c>
      <c r="S173" s="1">
        <v>0.435</v>
      </c>
      <c r="T173" s="1">
        <v>0.38</v>
      </c>
      <c r="U173">
        <v>17996</v>
      </c>
      <c r="V173" s="1">
        <v>4.9000000000000002E-2</v>
      </c>
      <c r="W173">
        <v>3454</v>
      </c>
      <c r="X173" s="1">
        <v>0.14399999999999999</v>
      </c>
      <c r="Y173" s="1">
        <f>(O173-P173)/O173</f>
        <v>8.0714794282633479E-2</v>
      </c>
      <c r="Z173" s="2">
        <f>P173/M173</f>
        <v>2.2862304377641989</v>
      </c>
    </row>
    <row r="174" spans="1:26" x14ac:dyDescent="0.45">
      <c r="A174" t="s">
        <v>421</v>
      </c>
      <c r="B174" t="s">
        <v>422</v>
      </c>
      <c r="C174" t="s">
        <v>418</v>
      </c>
      <c r="D174" t="s">
        <v>60</v>
      </c>
      <c r="E174" t="s">
        <v>30</v>
      </c>
      <c r="F174">
        <v>907</v>
      </c>
      <c r="G174">
        <v>202491</v>
      </c>
      <c r="H174" s="1">
        <v>4.3999999999999997E-2</v>
      </c>
      <c r="I174">
        <v>371</v>
      </c>
      <c r="J174">
        <v>85372</v>
      </c>
      <c r="K174" s="10">
        <v>0.44299999999999989</v>
      </c>
      <c r="L174">
        <v>12</v>
      </c>
      <c r="M174">
        <v>94126</v>
      </c>
      <c r="O174">
        <v>212375</v>
      </c>
      <c r="P174">
        <v>187804</v>
      </c>
      <c r="Q174" s="5">
        <v>0.253</v>
      </c>
      <c r="R174" s="1">
        <v>0.22</v>
      </c>
      <c r="S174" s="1">
        <v>0.433</v>
      </c>
      <c r="T174" s="1">
        <v>0.35</v>
      </c>
      <c r="U174">
        <v>19167</v>
      </c>
      <c r="V174" s="1">
        <v>9.6000000000000002E-2</v>
      </c>
      <c r="W174">
        <v>2581</v>
      </c>
      <c r="X174" s="1">
        <v>0.72099999999999997</v>
      </c>
      <c r="Y174" s="1">
        <f>(O174-P174)/O174</f>
        <v>0.1156962919364332</v>
      </c>
      <c r="Z174" s="2">
        <f>P174/M174</f>
        <v>1.9952404224125109</v>
      </c>
    </row>
    <row r="175" spans="1:26" x14ac:dyDescent="0.45">
      <c r="A175" t="s">
        <v>446</v>
      </c>
      <c r="B175" t="s">
        <v>422</v>
      </c>
      <c r="C175" t="s">
        <v>445</v>
      </c>
      <c r="D175" t="s">
        <v>34</v>
      </c>
      <c r="E175" t="s">
        <v>30</v>
      </c>
      <c r="F175">
        <v>907</v>
      </c>
      <c r="G175">
        <v>206720</v>
      </c>
      <c r="H175" s="1">
        <v>4.3999999999999997E-2</v>
      </c>
      <c r="I175">
        <v>371</v>
      </c>
      <c r="J175">
        <v>88708</v>
      </c>
      <c r="K175" s="10">
        <v>0.46400000000000002</v>
      </c>
      <c r="L175">
        <v>12</v>
      </c>
      <c r="M175">
        <v>97804</v>
      </c>
      <c r="N175" s="1">
        <v>-4.0000000000000001E-3</v>
      </c>
      <c r="O175">
        <v>210643</v>
      </c>
      <c r="P175">
        <v>185785</v>
      </c>
      <c r="Q175" s="1">
        <v>0.23</v>
      </c>
      <c r="R175" s="1">
        <v>0.22</v>
      </c>
      <c r="S175" s="1">
        <v>0.41199999999999998</v>
      </c>
      <c r="T175" s="1">
        <v>0.32400000000000001</v>
      </c>
      <c r="U175">
        <v>19649</v>
      </c>
      <c r="V175" s="1">
        <v>0.1</v>
      </c>
      <c r="W175">
        <v>2535</v>
      </c>
      <c r="X175" s="1">
        <v>0.72099999999999997</v>
      </c>
      <c r="Y175" s="1">
        <f>(O175-P175)/O175</f>
        <v>0.11801009290600685</v>
      </c>
      <c r="Z175" s="2">
        <f>P175/M175</f>
        <v>1.8995644349924339</v>
      </c>
    </row>
    <row r="176" spans="1:26" x14ac:dyDescent="0.45">
      <c r="A176" t="s">
        <v>446</v>
      </c>
      <c r="B176" t="s">
        <v>422</v>
      </c>
      <c r="C176" t="s">
        <v>445</v>
      </c>
      <c r="D176" t="s">
        <v>34</v>
      </c>
      <c r="E176" t="s">
        <v>35</v>
      </c>
      <c r="F176">
        <v>907</v>
      </c>
      <c r="G176">
        <v>206720</v>
      </c>
      <c r="H176" s="1">
        <v>4.4999999999999998E-2</v>
      </c>
      <c r="I176">
        <v>371</v>
      </c>
      <c r="J176">
        <v>88876</v>
      </c>
      <c r="K176" s="10">
        <v>0.47599999999999998</v>
      </c>
      <c r="L176">
        <v>12</v>
      </c>
      <c r="M176">
        <v>97989</v>
      </c>
      <c r="N176" s="1">
        <v>-4.0000000000000001E-3</v>
      </c>
      <c r="O176">
        <v>206061</v>
      </c>
      <c r="P176">
        <v>181743</v>
      </c>
      <c r="Q176" s="1">
        <v>0.20499999999999999</v>
      </c>
      <c r="R176" s="1">
        <v>0.22</v>
      </c>
      <c r="S176" s="1">
        <v>0.39</v>
      </c>
      <c r="T176" s="1">
        <v>0.29599999999999999</v>
      </c>
      <c r="U176">
        <v>16217</v>
      </c>
      <c r="V176" s="1">
        <v>8.4000000000000005E-2</v>
      </c>
      <c r="W176">
        <v>2535</v>
      </c>
      <c r="X176" s="1">
        <v>0.72099999999999997</v>
      </c>
      <c r="Y176" s="1">
        <f>(O176-P176)/O176</f>
        <v>0.11801359791518046</v>
      </c>
      <c r="Z176" s="2">
        <f>P176/M176</f>
        <v>1.8547285919848147</v>
      </c>
    </row>
    <row r="177" spans="1:26" x14ac:dyDescent="0.45">
      <c r="A177" t="s">
        <v>90</v>
      </c>
      <c r="B177" t="s">
        <v>91</v>
      </c>
      <c r="C177" t="s">
        <v>92</v>
      </c>
      <c r="D177" t="s">
        <v>93</v>
      </c>
      <c r="E177" t="s">
        <v>30</v>
      </c>
      <c r="F177">
        <v>276</v>
      </c>
      <c r="G177">
        <v>202743</v>
      </c>
      <c r="H177" s="1">
        <v>4.8000000000000001E-2</v>
      </c>
      <c r="I177">
        <v>374</v>
      </c>
      <c r="J177">
        <v>26472</v>
      </c>
      <c r="K177" s="10">
        <v>0.48699999999999999</v>
      </c>
      <c r="L177">
        <v>11</v>
      </c>
      <c r="M177">
        <v>95913</v>
      </c>
      <c r="O177">
        <v>197025</v>
      </c>
      <c r="P177">
        <v>175906</v>
      </c>
      <c r="Q177" s="1">
        <v>0.191</v>
      </c>
      <c r="R177" s="1">
        <v>0.2</v>
      </c>
      <c r="S177" s="1">
        <v>0.35799999999999998</v>
      </c>
      <c r="T177" s="1">
        <v>0.3</v>
      </c>
      <c r="U177">
        <v>11707</v>
      </c>
      <c r="V177" s="1">
        <v>0.20399999999999999</v>
      </c>
      <c r="W177">
        <v>2550</v>
      </c>
      <c r="X177" s="1">
        <v>0.71599999999999997</v>
      </c>
      <c r="Y177" s="1">
        <f>(O177-P177)/O177</f>
        <v>0.10718944296409084</v>
      </c>
      <c r="Z177" s="2">
        <f>P177/M177</f>
        <v>1.8340162438876899</v>
      </c>
    </row>
    <row r="178" spans="1:26" x14ac:dyDescent="0.45">
      <c r="A178" t="s">
        <v>449</v>
      </c>
      <c r="B178" t="s">
        <v>450</v>
      </c>
      <c r="C178" t="s">
        <v>451</v>
      </c>
      <c r="D178" t="s">
        <v>34</v>
      </c>
      <c r="E178" t="s">
        <v>30</v>
      </c>
      <c r="F178">
        <v>140</v>
      </c>
      <c r="G178">
        <v>203600</v>
      </c>
      <c r="H178" s="1">
        <v>3.4000000000000002E-2</v>
      </c>
      <c r="I178">
        <v>100</v>
      </c>
      <c r="J178">
        <v>12632</v>
      </c>
      <c r="K178" s="10">
        <v>0.42399999999999999</v>
      </c>
      <c r="L178">
        <v>8</v>
      </c>
      <c r="M178">
        <v>90225</v>
      </c>
      <c r="O178">
        <v>212877</v>
      </c>
      <c r="P178">
        <v>191657</v>
      </c>
      <c r="Q178" s="1">
        <v>0.21299999999999999</v>
      </c>
      <c r="R178" s="1">
        <v>0.30099999999999999</v>
      </c>
      <c r="S178" s="1">
        <v>0.46</v>
      </c>
      <c r="T178" s="1">
        <v>0.39600000000000002</v>
      </c>
      <c r="U178">
        <v>5135</v>
      </c>
      <c r="V178">
        <v>0.182</v>
      </c>
      <c r="W178">
        <v>2907</v>
      </c>
      <c r="X178" s="1">
        <v>0.2</v>
      </c>
      <c r="Y178" s="1">
        <f>(O178-P178)/O178</f>
        <v>9.9681975976737738E-2</v>
      </c>
      <c r="Z178" s="2">
        <f>P178/M178</f>
        <v>2.1242116929897477</v>
      </c>
    </row>
    <row r="179" spans="1:26" x14ac:dyDescent="0.45">
      <c r="A179" t="s">
        <v>449</v>
      </c>
      <c r="B179" t="s">
        <v>450</v>
      </c>
      <c r="C179" t="s">
        <v>451</v>
      </c>
      <c r="D179" t="s">
        <v>34</v>
      </c>
      <c r="E179" t="s">
        <v>35</v>
      </c>
      <c r="F179">
        <v>140</v>
      </c>
      <c r="G179">
        <v>203600</v>
      </c>
      <c r="H179" s="1">
        <v>3.5999999999999997E-2</v>
      </c>
      <c r="I179">
        <v>100</v>
      </c>
      <c r="J179">
        <v>12632</v>
      </c>
      <c r="K179" s="10">
        <v>0.45100000000000001</v>
      </c>
      <c r="L179" s="7">
        <v>8</v>
      </c>
      <c r="M179">
        <v>90225</v>
      </c>
      <c r="O179">
        <v>200183</v>
      </c>
      <c r="P179">
        <v>180863</v>
      </c>
      <c r="Q179" s="1">
        <v>0.184</v>
      </c>
      <c r="R179" s="1">
        <v>0.2</v>
      </c>
      <c r="S179" s="1">
        <v>0.39600000000000002</v>
      </c>
      <c r="T179" s="1">
        <v>0.35199999999999998</v>
      </c>
      <c r="U179">
        <v>5135</v>
      </c>
      <c r="V179" s="1">
        <v>0.182</v>
      </c>
      <c r="W179">
        <v>2907</v>
      </c>
      <c r="X179" s="1">
        <v>0.6</v>
      </c>
      <c r="Y179" s="1">
        <f>(O179-P179)/O179</f>
        <v>9.651169180200117E-2</v>
      </c>
      <c r="Z179" s="2">
        <f>P179/M179</f>
        <v>2.0045774452756997</v>
      </c>
    </row>
    <row r="180" spans="1:26" x14ac:dyDescent="0.45">
      <c r="A180" t="s">
        <v>452</v>
      </c>
      <c r="B180" t="s">
        <v>450</v>
      </c>
      <c r="C180" t="s">
        <v>451</v>
      </c>
      <c r="D180" t="s">
        <v>34</v>
      </c>
      <c r="E180" t="s">
        <v>30</v>
      </c>
      <c r="F180">
        <v>140</v>
      </c>
      <c r="G180">
        <v>203600</v>
      </c>
      <c r="H180" s="1">
        <v>3.4000000000000002E-2</v>
      </c>
      <c r="I180">
        <v>100</v>
      </c>
      <c r="J180">
        <v>12632</v>
      </c>
      <c r="K180" s="10">
        <v>0.42399999999999999</v>
      </c>
      <c r="L180">
        <v>8</v>
      </c>
      <c r="M180">
        <v>90225</v>
      </c>
      <c r="O180">
        <v>212877</v>
      </c>
      <c r="P180">
        <v>191657</v>
      </c>
      <c r="Q180" s="1">
        <v>0.21299999999999999</v>
      </c>
      <c r="R180" s="1">
        <v>0.30099999999999999</v>
      </c>
      <c r="S180" s="1">
        <v>0.46</v>
      </c>
      <c r="T180" s="1">
        <v>0.39600000000000002</v>
      </c>
      <c r="U180">
        <v>5135</v>
      </c>
      <c r="V180">
        <v>0.182</v>
      </c>
      <c r="W180">
        <v>2907</v>
      </c>
      <c r="X180" s="1">
        <v>0.2</v>
      </c>
      <c r="Y180" s="1">
        <f>(O180-P180)/O180</f>
        <v>9.9681975976737738E-2</v>
      </c>
      <c r="Z180" s="2">
        <f>P180/M180</f>
        <v>2.1242116929897477</v>
      </c>
    </row>
    <row r="181" spans="1:26" x14ac:dyDescent="0.45">
      <c r="A181" t="s">
        <v>452</v>
      </c>
      <c r="B181" t="s">
        <v>450</v>
      </c>
      <c r="C181" t="s">
        <v>451</v>
      </c>
      <c r="D181" t="s">
        <v>34</v>
      </c>
      <c r="E181" t="s">
        <v>35</v>
      </c>
      <c r="F181">
        <v>140</v>
      </c>
      <c r="G181">
        <v>203600</v>
      </c>
      <c r="H181" s="1">
        <v>3.5999999999999997E-2</v>
      </c>
      <c r="I181">
        <v>100</v>
      </c>
      <c r="J181">
        <v>12632</v>
      </c>
      <c r="K181" s="10">
        <v>0.45100000000000001</v>
      </c>
      <c r="L181" s="7">
        <v>8</v>
      </c>
      <c r="M181">
        <v>90225</v>
      </c>
      <c r="O181">
        <v>200183</v>
      </c>
      <c r="P181">
        <v>180863</v>
      </c>
      <c r="Q181" s="1">
        <v>0.184</v>
      </c>
      <c r="R181" s="1">
        <v>0.2</v>
      </c>
      <c r="S181" s="1">
        <v>0.41899999999999998</v>
      </c>
      <c r="T181" s="1">
        <v>0.35199999999999998</v>
      </c>
      <c r="U181">
        <v>5135</v>
      </c>
      <c r="V181" s="1">
        <v>0.182</v>
      </c>
      <c r="W181">
        <v>2907</v>
      </c>
      <c r="X181" s="1">
        <v>0.6</v>
      </c>
      <c r="Y181" s="1">
        <f>(O181-P181)/O181</f>
        <v>9.651169180200117E-2</v>
      </c>
      <c r="Z181" s="2">
        <f>P181/M181</f>
        <v>2.0045774452756997</v>
      </c>
    </row>
    <row r="182" spans="1:26" x14ac:dyDescent="0.45">
      <c r="A182" t="s">
        <v>212</v>
      </c>
      <c r="B182" t="s">
        <v>213</v>
      </c>
      <c r="C182" t="s">
        <v>214</v>
      </c>
      <c r="D182" t="s">
        <v>29</v>
      </c>
      <c r="E182" t="s">
        <v>30</v>
      </c>
      <c r="F182">
        <v>1856</v>
      </c>
      <c r="G182">
        <v>222159</v>
      </c>
      <c r="H182" s="1">
        <v>8.4000000000000005E-2</v>
      </c>
      <c r="I182">
        <v>990</v>
      </c>
      <c r="J182" s="6">
        <v>172548</v>
      </c>
      <c r="K182" s="10">
        <v>0.41699999999999998</v>
      </c>
      <c r="L182">
        <v>19</v>
      </c>
      <c r="M182">
        <v>92968</v>
      </c>
      <c r="O182">
        <v>222685</v>
      </c>
      <c r="P182">
        <v>205334</v>
      </c>
      <c r="Q182" s="1">
        <v>0.23100000000000001</v>
      </c>
      <c r="R182" s="1">
        <v>0.2</v>
      </c>
      <c r="S182" s="1">
        <v>0.45100000000000001</v>
      </c>
      <c r="T182" s="1">
        <v>0.39800000000000002</v>
      </c>
      <c r="U182">
        <v>14916</v>
      </c>
      <c r="V182" s="1">
        <v>3.1E-2</v>
      </c>
      <c r="W182">
        <v>3636</v>
      </c>
      <c r="X182" s="1">
        <v>5.8000000000000003E-2</v>
      </c>
      <c r="Y182" s="1">
        <f>(O182-P182)/O182</f>
        <v>7.7917237353211932E-2</v>
      </c>
      <c r="Z182" s="2">
        <f>P182/M182</f>
        <v>2.2086524395490921</v>
      </c>
    </row>
    <row r="183" spans="1:26" x14ac:dyDescent="0.45">
      <c r="A183" t="s">
        <v>126</v>
      </c>
      <c r="B183" t="s">
        <v>127</v>
      </c>
      <c r="C183" t="s">
        <v>123</v>
      </c>
      <c r="D183" t="s">
        <v>29</v>
      </c>
      <c r="E183" t="s">
        <v>30</v>
      </c>
      <c r="F183">
        <v>520</v>
      </c>
      <c r="G183">
        <v>225538</v>
      </c>
      <c r="H183" s="1">
        <v>0.105</v>
      </c>
      <c r="I183">
        <v>369</v>
      </c>
      <c r="J183">
        <v>53037</v>
      </c>
      <c r="K183" s="10">
        <v>0.46200000000000002</v>
      </c>
      <c r="L183">
        <v>11</v>
      </c>
      <c r="M183">
        <v>101995</v>
      </c>
      <c r="O183">
        <v>220758</v>
      </c>
      <c r="P183">
        <v>199514</v>
      </c>
      <c r="Q183" s="1">
        <v>0.2</v>
      </c>
      <c r="R183" s="1">
        <v>0.2</v>
      </c>
      <c r="S183" s="1">
        <v>0.36899999999999999</v>
      </c>
      <c r="T183" s="1">
        <v>0.29699999999999999</v>
      </c>
      <c r="U183">
        <v>8949</v>
      </c>
      <c r="V183" s="1">
        <v>6.9000000000000006E-2</v>
      </c>
      <c r="W183">
        <v>3381</v>
      </c>
      <c r="X183" s="1">
        <v>0.40799999999999997</v>
      </c>
      <c r="Y183" s="1">
        <f>(O183-P183)/O183</f>
        <v>9.6232073129852602E-2</v>
      </c>
      <c r="Z183" s="2">
        <f>P183/M183</f>
        <v>1.9561154958576401</v>
      </c>
    </row>
    <row r="184" spans="1:26" x14ac:dyDescent="0.45">
      <c r="A184" t="s">
        <v>36</v>
      </c>
      <c r="B184" t="s">
        <v>37</v>
      </c>
      <c r="C184" t="s">
        <v>38</v>
      </c>
      <c r="D184" t="s">
        <v>29</v>
      </c>
      <c r="E184" t="s">
        <v>30</v>
      </c>
      <c r="F184">
        <v>464</v>
      </c>
      <c r="G184">
        <v>229763</v>
      </c>
      <c r="H184" s="1">
        <v>8.5000000000000006E-2</v>
      </c>
      <c r="I184">
        <v>937</v>
      </c>
      <c r="J184">
        <v>46844</v>
      </c>
      <c r="K184" s="10">
        <v>0.44600000000000001</v>
      </c>
      <c r="L184">
        <v>19</v>
      </c>
      <c r="M184">
        <v>100957</v>
      </c>
      <c r="O184">
        <v>202427</v>
      </c>
      <c r="P184">
        <v>202427</v>
      </c>
      <c r="Q184" s="1">
        <v>0.20300000000000001</v>
      </c>
      <c r="R184" s="1">
        <v>0.2</v>
      </c>
      <c r="S184" s="1">
        <v>0.379</v>
      </c>
      <c r="T184" s="1">
        <v>0.29699999999999999</v>
      </c>
      <c r="U184">
        <v>10676</v>
      </c>
      <c r="V184" s="1">
        <v>9.6000000000000002E-2</v>
      </c>
      <c r="W184">
        <v>3175</v>
      </c>
      <c r="X184" s="1">
        <v>0.5</v>
      </c>
      <c r="Y184" s="1">
        <f>(O184-P184)/O184</f>
        <v>0</v>
      </c>
      <c r="Z184" s="2">
        <f>P184/M184</f>
        <v>2.0050813712768805</v>
      </c>
    </row>
    <row r="185" spans="1:26" x14ac:dyDescent="0.45">
      <c r="A185" t="s">
        <v>439</v>
      </c>
      <c r="B185" t="s">
        <v>37</v>
      </c>
      <c r="C185" t="s">
        <v>440</v>
      </c>
      <c r="D185" t="s">
        <v>44</v>
      </c>
      <c r="E185" t="s">
        <v>30</v>
      </c>
      <c r="F185">
        <v>464</v>
      </c>
      <c r="G185">
        <v>247349</v>
      </c>
      <c r="H185" s="1">
        <v>8.5000000000000006E-2</v>
      </c>
      <c r="I185">
        <v>1146</v>
      </c>
      <c r="J185">
        <v>52250</v>
      </c>
      <c r="K185" s="10">
        <v>0.433</v>
      </c>
      <c r="L185">
        <v>19</v>
      </c>
      <c r="M185">
        <v>112608</v>
      </c>
      <c r="N185" s="1">
        <v>1E-3</v>
      </c>
      <c r="O185">
        <v>259882</v>
      </c>
      <c r="P185">
        <v>231955</v>
      </c>
      <c r="Q185" s="1">
        <v>0.2</v>
      </c>
      <c r="R185" s="1">
        <v>0.22</v>
      </c>
      <c r="S185" s="1">
        <v>0.39500000000000002</v>
      </c>
      <c r="T185" s="1">
        <v>0.31</v>
      </c>
      <c r="U185">
        <v>12100</v>
      </c>
      <c r="V185" s="1">
        <v>0.10100000000000001</v>
      </c>
      <c r="W185">
        <v>4052</v>
      </c>
      <c r="X185" s="1">
        <v>0.11700000000000001</v>
      </c>
      <c r="Y185" s="1">
        <f>(O185-P185)/O185</f>
        <v>0.10746030890942812</v>
      </c>
      <c r="Z185" s="2">
        <f>P185/M185</f>
        <v>2.05984477124183</v>
      </c>
    </row>
    <row r="186" spans="1:26" x14ac:dyDescent="0.45">
      <c r="A186" t="s">
        <v>439</v>
      </c>
      <c r="B186" t="s">
        <v>37</v>
      </c>
      <c r="C186" t="s">
        <v>440</v>
      </c>
      <c r="D186" t="s">
        <v>44</v>
      </c>
      <c r="E186" t="s">
        <v>35</v>
      </c>
      <c r="F186">
        <v>464</v>
      </c>
      <c r="G186">
        <v>247349</v>
      </c>
      <c r="H186" s="1">
        <v>8.5000000000000006E-2</v>
      </c>
      <c r="I186">
        <v>1146</v>
      </c>
      <c r="J186">
        <v>56238</v>
      </c>
      <c r="K186" s="10">
        <v>0.46600000000000003</v>
      </c>
      <c r="L186">
        <v>25</v>
      </c>
      <c r="M186" s="7">
        <v>121203</v>
      </c>
      <c r="N186" s="1">
        <v>1E-3</v>
      </c>
      <c r="O186">
        <v>259882</v>
      </c>
      <c r="P186">
        <v>231955</v>
      </c>
      <c r="Q186" s="5">
        <v>0.16800000000000001</v>
      </c>
      <c r="R186" s="1">
        <v>0.22</v>
      </c>
      <c r="S186" s="1">
        <v>0.35899999999999999</v>
      </c>
      <c r="T186" s="5">
        <v>0.26900000000000002</v>
      </c>
      <c r="U186">
        <v>8582</v>
      </c>
      <c r="V186" s="1">
        <v>7.0000000000000007E-2</v>
      </c>
      <c r="W186">
        <v>4052</v>
      </c>
      <c r="X186" s="1">
        <v>0.11700000000000001</v>
      </c>
      <c r="Y186" s="1">
        <f>(O186-P186)/O186</f>
        <v>0.10746030890942812</v>
      </c>
      <c r="Z186" s="2">
        <f>P186/M186</f>
        <v>1.9137727614002953</v>
      </c>
    </row>
    <row r="187" spans="1:26" x14ac:dyDescent="0.45">
      <c r="A187" t="s">
        <v>288</v>
      </c>
      <c r="B187" t="s">
        <v>289</v>
      </c>
      <c r="C187" t="s">
        <v>284</v>
      </c>
      <c r="D187" t="s">
        <v>29</v>
      </c>
      <c r="E187" t="s">
        <v>30</v>
      </c>
      <c r="F187">
        <v>200</v>
      </c>
      <c r="G187">
        <v>308124</v>
      </c>
      <c r="H187" s="1">
        <v>0.107</v>
      </c>
      <c r="I187">
        <v>3398</v>
      </c>
      <c r="J187">
        <v>23680</v>
      </c>
      <c r="K187" s="10">
        <v>0.40699999999999997</v>
      </c>
      <c r="L187">
        <v>16</v>
      </c>
      <c r="M187">
        <v>118400</v>
      </c>
      <c r="O187">
        <v>291095</v>
      </c>
      <c r="P187">
        <v>270714</v>
      </c>
      <c r="Q187" s="1">
        <v>0.214</v>
      </c>
      <c r="R187" s="1">
        <v>0.2</v>
      </c>
      <c r="S187" s="1">
        <v>0.39300000000000002</v>
      </c>
      <c r="T187" s="1">
        <v>0.34300000000000003</v>
      </c>
      <c r="U187">
        <v>7008</v>
      </c>
      <c r="V187" s="1">
        <v>0.115</v>
      </c>
      <c r="W187">
        <v>5766</v>
      </c>
      <c r="X187" s="1">
        <v>0</v>
      </c>
      <c r="Y187" s="1">
        <f>(O187-P187)/O187</f>
        <v>7.001494357512153E-2</v>
      </c>
      <c r="Z187" s="2">
        <f>P187/M187</f>
        <v>2.2864358108108109</v>
      </c>
    </row>
    <row r="188" spans="1:26" x14ac:dyDescent="0.45">
      <c r="A188" t="s">
        <v>183</v>
      </c>
      <c r="B188" t="s">
        <v>184</v>
      </c>
      <c r="C188" t="s">
        <v>171</v>
      </c>
      <c r="D188" t="s">
        <v>168</v>
      </c>
      <c r="E188" t="s">
        <v>30</v>
      </c>
      <c r="F188">
        <v>383</v>
      </c>
      <c r="G188">
        <v>253222</v>
      </c>
      <c r="H188" s="1">
        <v>8.1000000000000003E-2</v>
      </c>
      <c r="I188">
        <v>949</v>
      </c>
      <c r="J188">
        <v>40920</v>
      </c>
      <c r="K188" s="10">
        <v>0.44</v>
      </c>
      <c r="L188">
        <v>19</v>
      </c>
      <c r="M188">
        <v>106841</v>
      </c>
      <c r="O188">
        <v>242558</v>
      </c>
      <c r="P188">
        <v>221079</v>
      </c>
      <c r="Q188" s="1">
        <v>0.18</v>
      </c>
      <c r="R188" s="1">
        <v>0.2</v>
      </c>
      <c r="S188" s="1">
        <v>0.37200000000000011</v>
      </c>
      <c r="T188" s="1">
        <v>0.30299999999999999</v>
      </c>
      <c r="U188">
        <v>11294</v>
      </c>
      <c r="V188" s="1">
        <v>0.113</v>
      </c>
      <c r="W188">
        <v>3874</v>
      </c>
      <c r="X188" s="1">
        <v>0.13100000000000001</v>
      </c>
      <c r="Y188" s="1">
        <f>(O188-P188)/O188</f>
        <v>8.8552016424937541E-2</v>
      </c>
      <c r="Z188" s="2">
        <f>P188/M188</f>
        <v>2.0692337211370169</v>
      </c>
    </row>
    <row r="189" spans="1:26" x14ac:dyDescent="0.45">
      <c r="A189" t="s">
        <v>183</v>
      </c>
      <c r="B189" t="s">
        <v>184</v>
      </c>
      <c r="C189" t="s">
        <v>171</v>
      </c>
      <c r="D189" t="s">
        <v>168</v>
      </c>
      <c r="E189" t="s">
        <v>30</v>
      </c>
      <c r="F189">
        <v>383</v>
      </c>
      <c r="G189">
        <v>253222</v>
      </c>
      <c r="H189">
        <v>8.1000000000000003E-2</v>
      </c>
      <c r="I189">
        <v>949</v>
      </c>
      <c r="J189">
        <v>40920</v>
      </c>
      <c r="K189" s="10">
        <v>0.44</v>
      </c>
      <c r="L189">
        <v>19</v>
      </c>
      <c r="M189">
        <v>106841</v>
      </c>
      <c r="O189">
        <v>242558</v>
      </c>
      <c r="P189">
        <v>221079</v>
      </c>
      <c r="Q189">
        <v>0.18</v>
      </c>
      <c r="R189">
        <v>0.2</v>
      </c>
      <c r="S189">
        <v>0.37200000000000011</v>
      </c>
      <c r="T189">
        <v>0.30299999999999999</v>
      </c>
      <c r="U189">
        <v>11294</v>
      </c>
      <c r="V189">
        <v>0.113</v>
      </c>
      <c r="W189">
        <v>3874</v>
      </c>
      <c r="X189">
        <v>0.13100000000000001</v>
      </c>
      <c r="Y189" s="1">
        <f>(O189-P189)/O189</f>
        <v>8.8552016424937541E-2</v>
      </c>
      <c r="Z189" s="2">
        <f>P189/M189</f>
        <v>2.0692337211370169</v>
      </c>
    </row>
    <row r="190" spans="1:26" x14ac:dyDescent="0.45">
      <c r="A190" t="s">
        <v>164</v>
      </c>
      <c r="B190" t="s">
        <v>165</v>
      </c>
      <c r="C190" t="s">
        <v>157</v>
      </c>
      <c r="D190" t="s">
        <v>29</v>
      </c>
      <c r="E190" t="s">
        <v>30</v>
      </c>
      <c r="F190">
        <v>318</v>
      </c>
      <c r="G190">
        <v>191918</v>
      </c>
      <c r="H190" s="1">
        <v>7.400000000000001E-2</v>
      </c>
      <c r="I190">
        <v>565</v>
      </c>
      <c r="J190">
        <v>27462</v>
      </c>
      <c r="K190" s="10">
        <v>0.42799999999999999</v>
      </c>
      <c r="L190">
        <v>14</v>
      </c>
      <c r="M190">
        <v>86360</v>
      </c>
      <c r="O190">
        <v>201845</v>
      </c>
      <c r="P190">
        <v>179301</v>
      </c>
      <c r="Q190" s="1">
        <v>0.219</v>
      </c>
      <c r="R190" s="1">
        <v>0.2</v>
      </c>
      <c r="S190" s="1">
        <v>0.41399999999999998</v>
      </c>
      <c r="T190" s="1">
        <v>0.33300000000000002</v>
      </c>
      <c r="U190">
        <v>8041</v>
      </c>
      <c r="V190" s="1">
        <v>0.115</v>
      </c>
      <c r="W190">
        <v>2606</v>
      </c>
      <c r="X190" s="1">
        <v>0.68900000000000006</v>
      </c>
      <c r="Y190" s="1">
        <f>(O190-P190)/O190</f>
        <v>0.11168966286011543</v>
      </c>
      <c r="Z190" s="2">
        <f>P190/M190</f>
        <v>2.0762042612320517</v>
      </c>
    </row>
    <row r="191" spans="1:26" x14ac:dyDescent="0.45">
      <c r="A191" t="s">
        <v>320</v>
      </c>
      <c r="B191" t="s">
        <v>321</v>
      </c>
      <c r="C191" t="s">
        <v>318</v>
      </c>
      <c r="D191" t="s">
        <v>29</v>
      </c>
      <c r="E191" t="s">
        <v>30</v>
      </c>
      <c r="F191">
        <v>925</v>
      </c>
      <c r="G191">
        <v>348351</v>
      </c>
      <c r="H191" s="1">
        <v>7.6999999999999999E-2</v>
      </c>
      <c r="I191">
        <v>1846</v>
      </c>
      <c r="J191">
        <v>105691</v>
      </c>
      <c r="K191" s="11">
        <v>0.32300000000000001</v>
      </c>
      <c r="L191">
        <v>19</v>
      </c>
      <c r="M191">
        <v>114261</v>
      </c>
      <c r="O191">
        <v>353573</v>
      </c>
      <c r="P191">
        <v>333894</v>
      </c>
      <c r="Q191" s="1">
        <v>0.23400000000000001</v>
      </c>
      <c r="R191" s="1">
        <v>0.2</v>
      </c>
      <c r="S191" s="1">
        <v>0.46400000000000002</v>
      </c>
      <c r="T191" s="5">
        <v>0.42799999999999999</v>
      </c>
      <c r="U191" s="6">
        <v>45316</v>
      </c>
      <c r="V191" s="1">
        <v>0.13300000000000001</v>
      </c>
      <c r="W191" s="7">
        <v>7999</v>
      </c>
      <c r="X191" s="1">
        <v>0</v>
      </c>
      <c r="Y191" s="1">
        <f>(O191-P191)/O191</f>
        <v>5.5657530410975951E-2</v>
      </c>
      <c r="Z191" s="2">
        <f>P191/M191</f>
        <v>2.9222044267072755</v>
      </c>
    </row>
    <row r="192" spans="1:26" x14ac:dyDescent="0.45">
      <c r="A192" t="s">
        <v>320</v>
      </c>
      <c r="B192" t="s">
        <v>321</v>
      </c>
      <c r="C192" t="s">
        <v>318</v>
      </c>
      <c r="D192" t="s">
        <v>29</v>
      </c>
      <c r="E192" t="s">
        <v>30</v>
      </c>
      <c r="F192">
        <v>925</v>
      </c>
      <c r="G192">
        <v>348351</v>
      </c>
      <c r="H192">
        <v>7.6999999999999999E-2</v>
      </c>
      <c r="I192">
        <v>1846</v>
      </c>
      <c r="J192">
        <v>105691</v>
      </c>
      <c r="K192" s="11">
        <v>0.32300000000000001</v>
      </c>
      <c r="L192">
        <v>19</v>
      </c>
      <c r="M192">
        <v>114261</v>
      </c>
      <c r="O192">
        <v>353573</v>
      </c>
      <c r="P192">
        <v>333894</v>
      </c>
      <c r="Q192">
        <v>0.23400000000000001</v>
      </c>
      <c r="R192">
        <v>0.2</v>
      </c>
      <c r="S192">
        <v>0.46400000000000002</v>
      </c>
      <c r="T192" s="7">
        <v>0.42799999999999999</v>
      </c>
      <c r="U192" s="6">
        <v>45316</v>
      </c>
      <c r="V192">
        <v>0.13300000000000001</v>
      </c>
      <c r="W192" s="7">
        <v>7999</v>
      </c>
      <c r="X192">
        <v>0</v>
      </c>
      <c r="Y192" s="1">
        <f>(O192-P192)/O192</f>
        <v>5.5657530410975951E-2</v>
      </c>
      <c r="Z192" s="2">
        <f>P192/M192</f>
        <v>2.9222044267072755</v>
      </c>
    </row>
    <row r="193" spans="1:26" x14ac:dyDescent="0.45">
      <c r="A193" t="s">
        <v>358</v>
      </c>
      <c r="B193" t="s">
        <v>359</v>
      </c>
      <c r="C193" t="s">
        <v>352</v>
      </c>
      <c r="D193" t="s">
        <v>29</v>
      </c>
      <c r="E193" t="s">
        <v>30</v>
      </c>
      <c r="F193">
        <v>476</v>
      </c>
      <c r="G193">
        <v>227655</v>
      </c>
      <c r="H193" s="1">
        <v>8.5000000000000006E-2</v>
      </c>
      <c r="I193">
        <v>1552</v>
      </c>
      <c r="J193">
        <v>47634</v>
      </c>
      <c r="K193" s="10">
        <v>0.45100000000000001</v>
      </c>
      <c r="L193">
        <v>19</v>
      </c>
      <c r="M193">
        <v>100071</v>
      </c>
      <c r="O193">
        <v>221666</v>
      </c>
      <c r="P193">
        <v>202921</v>
      </c>
      <c r="Q193" s="1">
        <v>0.20599999999999999</v>
      </c>
      <c r="R193" s="1">
        <v>0.2</v>
      </c>
      <c r="S193" s="1">
        <v>0.373</v>
      </c>
      <c r="T193" s="1">
        <v>0.308</v>
      </c>
      <c r="U193">
        <v>11248</v>
      </c>
      <c r="V193" s="4">
        <v>0.10199999999999999</v>
      </c>
      <c r="W193">
        <v>3302</v>
      </c>
      <c r="X193" s="1">
        <v>0.25</v>
      </c>
      <c r="Y193" s="1">
        <f>(O193-P193)/O193</f>
        <v>8.4564164102749181E-2</v>
      </c>
      <c r="Z193" s="2">
        <f>P193/M193</f>
        <v>2.0277702830989996</v>
      </c>
    </row>
    <row r="194" spans="1:26" x14ac:dyDescent="0.45">
      <c r="A194" t="s">
        <v>338</v>
      </c>
      <c r="B194" t="s">
        <v>339</v>
      </c>
      <c r="C194" t="s">
        <v>340</v>
      </c>
      <c r="D194" t="s">
        <v>29</v>
      </c>
      <c r="E194" t="s">
        <v>30</v>
      </c>
      <c r="F194">
        <v>333</v>
      </c>
      <c r="G194">
        <v>210465</v>
      </c>
      <c r="H194" s="4">
        <v>4.2999999999999997E-2</v>
      </c>
      <c r="I194">
        <v>304</v>
      </c>
      <c r="J194">
        <v>29496</v>
      </c>
      <c r="K194" s="10">
        <v>0.42499999999999999</v>
      </c>
      <c r="L194">
        <v>14</v>
      </c>
      <c r="M194">
        <v>88577</v>
      </c>
      <c r="O194">
        <v>208220</v>
      </c>
      <c r="P194">
        <v>190122</v>
      </c>
      <c r="Q194" s="5">
        <v>0.253</v>
      </c>
      <c r="R194" s="1">
        <v>0.2</v>
      </c>
      <c r="S194" s="4">
        <v>0.45700000000000002</v>
      </c>
      <c r="T194" s="1">
        <v>0.4</v>
      </c>
      <c r="U194">
        <v>11647</v>
      </c>
      <c r="V194" s="1">
        <v>0.158</v>
      </c>
      <c r="W194">
        <v>2803</v>
      </c>
      <c r="X194" s="4">
        <v>0.55100000000000005</v>
      </c>
      <c r="Y194" s="1">
        <f>(O194-P194)/O194</f>
        <v>8.6917683219671499E-2</v>
      </c>
      <c r="Z194" s="2">
        <f>P194/M194</f>
        <v>2.1464036939611861</v>
      </c>
    </row>
    <row r="195" spans="1:26" x14ac:dyDescent="0.45">
      <c r="A195" t="s">
        <v>322</v>
      </c>
      <c r="B195" t="s">
        <v>323</v>
      </c>
      <c r="C195" t="s">
        <v>318</v>
      </c>
      <c r="E195" t="s">
        <v>35</v>
      </c>
      <c r="F195">
        <v>350</v>
      </c>
      <c r="G195">
        <v>295961</v>
      </c>
      <c r="H195" s="1">
        <v>0.10199999999999999</v>
      </c>
      <c r="I195">
        <v>1466</v>
      </c>
      <c r="J195">
        <v>42433</v>
      </c>
      <c r="K195" s="10">
        <v>0.42</v>
      </c>
      <c r="L195">
        <v>19</v>
      </c>
      <c r="M195" s="7">
        <v>121236</v>
      </c>
      <c r="O195">
        <v>288964</v>
      </c>
      <c r="P195">
        <v>268477</v>
      </c>
      <c r="Q195" s="1">
        <v>0.20899999999999999</v>
      </c>
      <c r="R195" s="1">
        <v>0.2</v>
      </c>
      <c r="S195" s="1">
        <v>0.38200000000000001</v>
      </c>
      <c r="T195" s="1">
        <v>0.33400000000000002</v>
      </c>
      <c r="U195">
        <v>10947</v>
      </c>
      <c r="V195" s="1">
        <v>0.10100000000000001</v>
      </c>
      <c r="W195">
        <v>5271</v>
      </c>
      <c r="X195" s="1">
        <v>0</v>
      </c>
      <c r="Y195" s="1">
        <f>(O195-P195)/O195</f>
        <v>7.0898104954250363E-2</v>
      </c>
      <c r="Z195" s="2">
        <f>P195/M195</f>
        <v>2.2144989936982413</v>
      </c>
    </row>
    <row r="196" spans="1:26" x14ac:dyDescent="0.45">
      <c r="A196" t="s">
        <v>86</v>
      </c>
      <c r="B196" t="s">
        <v>87</v>
      </c>
      <c r="C196" t="s">
        <v>85</v>
      </c>
      <c r="D196" t="s">
        <v>29</v>
      </c>
      <c r="E196" t="s">
        <v>30</v>
      </c>
      <c r="F196">
        <v>214</v>
      </c>
      <c r="G196">
        <v>260139</v>
      </c>
      <c r="H196" s="1">
        <v>0.11700000000000001</v>
      </c>
      <c r="I196">
        <v>2184</v>
      </c>
      <c r="J196">
        <v>22595</v>
      </c>
      <c r="K196" s="10">
        <v>0.40600000000000003</v>
      </c>
      <c r="L196">
        <v>15</v>
      </c>
      <c r="M196">
        <v>105585</v>
      </c>
      <c r="O196">
        <v>259777</v>
      </c>
      <c r="P196">
        <v>238971</v>
      </c>
      <c r="Q196" s="1">
        <v>0.2</v>
      </c>
      <c r="R196" s="1">
        <v>0.2</v>
      </c>
      <c r="S196" s="1">
        <v>0.38800000000000001</v>
      </c>
      <c r="T196" s="1">
        <v>0.32900000000000001</v>
      </c>
      <c r="U196">
        <v>7269</v>
      </c>
      <c r="V196" s="1">
        <v>0.125</v>
      </c>
      <c r="W196">
        <v>4207</v>
      </c>
      <c r="X196" s="1">
        <v>0</v>
      </c>
      <c r="Y196" s="1">
        <f>(O196-P196)/O196</f>
        <v>8.0091771018989358E-2</v>
      </c>
      <c r="Z196" s="2">
        <f>P196/M196</f>
        <v>2.2633044466543542</v>
      </c>
    </row>
    <row r="197" spans="1:26" x14ac:dyDescent="0.45">
      <c r="A197" t="s">
        <v>298</v>
      </c>
      <c r="B197" t="s">
        <v>87</v>
      </c>
      <c r="C197" t="s">
        <v>297</v>
      </c>
      <c r="D197" t="s">
        <v>29</v>
      </c>
      <c r="E197" t="s">
        <v>30</v>
      </c>
      <c r="F197">
        <v>214</v>
      </c>
      <c r="G197">
        <v>267028</v>
      </c>
      <c r="H197" s="1">
        <v>0.11700000000000001</v>
      </c>
      <c r="I197">
        <v>2194</v>
      </c>
      <c r="J197">
        <v>22610</v>
      </c>
      <c r="K197" s="10">
        <v>0.40500000000000003</v>
      </c>
      <c r="L197">
        <v>15</v>
      </c>
      <c r="M197">
        <v>105655</v>
      </c>
      <c r="O197">
        <v>260967</v>
      </c>
      <c r="P197">
        <v>240270</v>
      </c>
      <c r="Q197" s="1">
        <v>0.2</v>
      </c>
      <c r="R197" s="1">
        <v>0.2</v>
      </c>
      <c r="S197" s="1">
        <v>0.38800000000000001</v>
      </c>
      <c r="T197" s="1">
        <v>0.33</v>
      </c>
      <c r="U197">
        <v>7186</v>
      </c>
      <c r="V197" s="1">
        <v>0.124</v>
      </c>
      <c r="W197">
        <v>4256</v>
      </c>
      <c r="X197" s="1">
        <v>0</v>
      </c>
      <c r="Y197" s="1">
        <f>(O197-P197)/O197</f>
        <v>7.930887813401695E-2</v>
      </c>
      <c r="Z197" s="2">
        <f>P197/M197</f>
        <v>2.2740996640007571</v>
      </c>
    </row>
    <row r="198" spans="1:26" x14ac:dyDescent="0.45">
      <c r="A198" t="s">
        <v>151</v>
      </c>
      <c r="B198" t="s">
        <v>152</v>
      </c>
      <c r="C198" t="s">
        <v>139</v>
      </c>
      <c r="D198" t="s">
        <v>136</v>
      </c>
      <c r="E198" t="s">
        <v>30</v>
      </c>
      <c r="F198">
        <v>944</v>
      </c>
      <c r="G198">
        <v>248814</v>
      </c>
      <c r="H198" s="1">
        <v>5.5999999999999987E-2</v>
      </c>
      <c r="I198">
        <v>2101</v>
      </c>
      <c r="J198">
        <v>98225</v>
      </c>
      <c r="K198" s="10">
        <v>0.42799999999999999</v>
      </c>
      <c r="L198">
        <v>21</v>
      </c>
      <c r="M198">
        <v>104051</v>
      </c>
      <c r="O198">
        <v>242978</v>
      </c>
      <c r="P198">
        <v>215722</v>
      </c>
      <c r="Q198" s="1">
        <v>0.20100000000000001</v>
      </c>
      <c r="R198" s="1">
        <v>0.2</v>
      </c>
      <c r="S198" s="1">
        <v>0.41</v>
      </c>
      <c r="T198" s="1">
        <v>0.32600000000000001</v>
      </c>
      <c r="U198">
        <v>17136</v>
      </c>
      <c r="V198" s="1">
        <v>6.7000000000000004E-2</v>
      </c>
      <c r="W198">
        <v>3551</v>
      </c>
      <c r="X198" s="1">
        <v>0.193</v>
      </c>
      <c r="Y198" s="1">
        <f>(O198-P198)/O198</f>
        <v>0.1121747647935204</v>
      </c>
      <c r="Z198" s="2">
        <f>P198/M198</f>
        <v>2.0732333182766145</v>
      </c>
    </row>
    <row r="199" spans="1:26" x14ac:dyDescent="0.45">
      <c r="A199" t="s">
        <v>153</v>
      </c>
      <c r="B199" t="s">
        <v>154</v>
      </c>
      <c r="C199" t="s">
        <v>139</v>
      </c>
      <c r="D199" t="s">
        <v>144</v>
      </c>
      <c r="E199" t="s">
        <v>30</v>
      </c>
      <c r="F199">
        <v>1946</v>
      </c>
      <c r="G199">
        <v>240000</v>
      </c>
      <c r="H199" s="1">
        <v>7.5999999999999998E-2</v>
      </c>
      <c r="I199">
        <v>1168</v>
      </c>
      <c r="J199" s="6">
        <v>192986</v>
      </c>
      <c r="K199" s="10">
        <v>0.43200000000000011</v>
      </c>
      <c r="L199">
        <v>18</v>
      </c>
      <c r="M199">
        <v>99171</v>
      </c>
      <c r="O199">
        <v>229446</v>
      </c>
      <c r="P199">
        <v>204748</v>
      </c>
      <c r="Q199" s="1">
        <v>0.20399999999999999</v>
      </c>
      <c r="R199" s="1">
        <v>0.2</v>
      </c>
      <c r="S199" s="1">
        <v>0.40500000000000003</v>
      </c>
      <c r="T199" s="1">
        <v>0.32500000000000001</v>
      </c>
      <c r="U199">
        <v>18966</v>
      </c>
      <c r="V199" s="1">
        <v>3.5999999999999997E-2</v>
      </c>
      <c r="W199">
        <v>3698</v>
      </c>
      <c r="X199" s="1">
        <v>0.25</v>
      </c>
      <c r="Y199" s="1">
        <f>(O199-P199)/O199</f>
        <v>0.1076418852366134</v>
      </c>
      <c r="Z199" s="2">
        <f>P199/M199</f>
        <v>2.0645954966673723</v>
      </c>
    </row>
    <row r="200" spans="1:26" x14ac:dyDescent="0.45">
      <c r="A200" t="s">
        <v>185</v>
      </c>
      <c r="B200" t="s">
        <v>186</v>
      </c>
      <c r="C200" t="s">
        <v>187</v>
      </c>
      <c r="D200" t="s">
        <v>34</v>
      </c>
      <c r="E200" t="s">
        <v>30</v>
      </c>
      <c r="F200">
        <v>238</v>
      </c>
      <c r="G200">
        <v>190000</v>
      </c>
      <c r="H200" s="1">
        <v>5.5999999999999987E-2</v>
      </c>
      <c r="I200">
        <v>129</v>
      </c>
      <c r="J200">
        <v>19038</v>
      </c>
      <c r="K200" s="10">
        <v>0.41799999999999998</v>
      </c>
      <c r="L200">
        <v>10</v>
      </c>
      <c r="M200">
        <v>79993</v>
      </c>
      <c r="O200">
        <v>191345</v>
      </c>
      <c r="P200">
        <v>167942</v>
      </c>
      <c r="Q200" s="1">
        <v>0.23499999999999999</v>
      </c>
      <c r="R200" s="1">
        <v>0.28599999999999998</v>
      </c>
      <c r="S200" s="1">
        <v>0.46700000000000003</v>
      </c>
      <c r="T200" s="1">
        <v>0.38700000000000001</v>
      </c>
      <c r="U200">
        <v>16324</v>
      </c>
      <c r="V200" s="8">
        <v>0.35799999999999998</v>
      </c>
      <c r="W200">
        <v>2045</v>
      </c>
      <c r="X200" s="1">
        <v>1</v>
      </c>
      <c r="Y200" s="1">
        <f>(O200-P200)/O200</f>
        <v>0.12230787321330581</v>
      </c>
      <c r="Z200" s="2">
        <f>P200/M200</f>
        <v>2.0994587026364808</v>
      </c>
    </row>
    <row r="201" spans="1:26" x14ac:dyDescent="0.45">
      <c r="A201" t="s">
        <v>185</v>
      </c>
      <c r="B201" t="s">
        <v>186</v>
      </c>
      <c r="C201" t="s">
        <v>187</v>
      </c>
      <c r="D201" t="s">
        <v>34</v>
      </c>
      <c r="E201" t="s">
        <v>30</v>
      </c>
      <c r="F201">
        <v>238</v>
      </c>
      <c r="G201">
        <v>190000</v>
      </c>
      <c r="H201" s="1">
        <v>5.4000000000000013E-2</v>
      </c>
      <c r="I201">
        <v>129</v>
      </c>
      <c r="J201">
        <v>19050</v>
      </c>
      <c r="K201" s="10">
        <v>0.40400000000000003</v>
      </c>
      <c r="L201">
        <v>10</v>
      </c>
      <c r="M201">
        <v>80043</v>
      </c>
      <c r="O201">
        <v>185557</v>
      </c>
      <c r="P201">
        <v>185557</v>
      </c>
      <c r="Q201" s="5">
        <v>0.27700000000000002</v>
      </c>
      <c r="R201" s="1">
        <v>0.28599999999999998</v>
      </c>
      <c r="S201" s="5">
        <v>0.48399999999999999</v>
      </c>
      <c r="T201" s="5">
        <v>0.44600000000000001</v>
      </c>
      <c r="U201">
        <v>15414</v>
      </c>
      <c r="V201" s="8">
        <v>0.32700000000000001</v>
      </c>
      <c r="W201">
        <v>2150</v>
      </c>
      <c r="X201" s="1">
        <v>1</v>
      </c>
      <c r="Y201" s="1">
        <f>(O201-P201)/O201</f>
        <v>0</v>
      </c>
      <c r="Z201" s="2">
        <f>P201/M201</f>
        <v>2.3182164586534739</v>
      </c>
    </row>
    <row r="202" spans="1:26" x14ac:dyDescent="0.45">
      <c r="A202" t="s">
        <v>53</v>
      </c>
      <c r="B202" t="s">
        <v>54</v>
      </c>
      <c r="C202" t="s">
        <v>52</v>
      </c>
      <c r="D202" t="s">
        <v>34</v>
      </c>
      <c r="E202" t="s">
        <v>30</v>
      </c>
      <c r="F202">
        <v>208</v>
      </c>
      <c r="G202">
        <v>184176</v>
      </c>
      <c r="H202" s="1">
        <v>6.8000000000000005E-2</v>
      </c>
      <c r="I202">
        <v>108</v>
      </c>
      <c r="J202">
        <v>18297</v>
      </c>
      <c r="K202" s="10">
        <v>0.44400000000000001</v>
      </c>
      <c r="L202">
        <v>10</v>
      </c>
      <c r="M202">
        <v>87968</v>
      </c>
      <c r="O202">
        <v>204470</v>
      </c>
      <c r="P202">
        <v>182253</v>
      </c>
      <c r="Q202" s="5">
        <v>0.27500000000000002</v>
      </c>
      <c r="R202" s="1">
        <v>0.2</v>
      </c>
      <c r="S202" s="1">
        <v>0.42499999999999999</v>
      </c>
      <c r="T202" s="1">
        <v>0.35099999999999998</v>
      </c>
      <c r="U202">
        <v>3351</v>
      </c>
      <c r="V202" s="1">
        <v>7.8E-2</v>
      </c>
      <c r="W202">
        <v>2019</v>
      </c>
      <c r="X202" s="1">
        <v>0.75</v>
      </c>
      <c r="Y202" s="1">
        <f>(O202-P202)/O202</f>
        <v>0.10865652662982345</v>
      </c>
      <c r="Z202" s="2">
        <f>P202/M202</f>
        <v>2.0718102037104402</v>
      </c>
    </row>
    <row r="203" spans="1:26" x14ac:dyDescent="0.45">
      <c r="A203" t="s">
        <v>53</v>
      </c>
      <c r="B203" t="s">
        <v>54</v>
      </c>
      <c r="C203" t="s">
        <v>52</v>
      </c>
      <c r="D203" t="s">
        <v>34</v>
      </c>
      <c r="E203" t="s">
        <v>30</v>
      </c>
      <c r="F203">
        <v>208</v>
      </c>
      <c r="G203">
        <v>184176</v>
      </c>
      <c r="H203" s="1">
        <v>6.9000000000000006E-2</v>
      </c>
      <c r="I203">
        <v>105</v>
      </c>
      <c r="J203">
        <v>18297</v>
      </c>
      <c r="K203" s="10">
        <v>0.44400000000000001</v>
      </c>
      <c r="L203">
        <v>10</v>
      </c>
      <c r="M203">
        <v>87968</v>
      </c>
      <c r="O203">
        <v>198005</v>
      </c>
      <c r="P203">
        <v>175787</v>
      </c>
      <c r="Q203" s="1">
        <v>0.23899999999999999</v>
      </c>
      <c r="R203" s="1">
        <v>0.2</v>
      </c>
      <c r="S203" s="1">
        <v>0.41499999999999998</v>
      </c>
      <c r="T203" s="1">
        <v>0.34100000000000003</v>
      </c>
      <c r="U203">
        <v>7492</v>
      </c>
      <c r="V203" s="1">
        <v>0.18099999999999999</v>
      </c>
      <c r="W203">
        <v>2019</v>
      </c>
      <c r="X203" s="1">
        <v>0.75</v>
      </c>
      <c r="Y203" s="1">
        <f>(O203-P203)/O203</f>
        <v>0.11220928764425141</v>
      </c>
      <c r="Z203" s="2">
        <f>P203/M203</f>
        <v>1.9983062022553655</v>
      </c>
    </row>
    <row r="204" spans="1:26" x14ac:dyDescent="0.45">
      <c r="A204" t="s">
        <v>94</v>
      </c>
      <c r="B204" t="s">
        <v>95</v>
      </c>
      <c r="C204" t="s">
        <v>92</v>
      </c>
      <c r="D204" t="s">
        <v>60</v>
      </c>
      <c r="E204" t="s">
        <v>30</v>
      </c>
      <c r="F204">
        <v>690</v>
      </c>
      <c r="G204">
        <v>218942</v>
      </c>
      <c r="H204" s="1">
        <v>0.08</v>
      </c>
      <c r="I204">
        <v>581</v>
      </c>
      <c r="J204">
        <v>65010</v>
      </c>
      <c r="K204" s="10">
        <v>0.46899999999999997</v>
      </c>
      <c r="L204">
        <v>15</v>
      </c>
      <c r="M204">
        <v>94218</v>
      </c>
      <c r="O204">
        <v>200701</v>
      </c>
      <c r="P204">
        <v>179501</v>
      </c>
      <c r="Q204" s="1">
        <v>0.224</v>
      </c>
      <c r="R204" s="1">
        <v>0.2</v>
      </c>
      <c r="S204" s="1">
        <v>0.38900000000000001</v>
      </c>
      <c r="T204" s="1">
        <v>0.311</v>
      </c>
      <c r="U204">
        <v>9468</v>
      </c>
      <c r="V204" s="1">
        <v>6.6000000000000003E-2</v>
      </c>
      <c r="W204">
        <v>2494</v>
      </c>
      <c r="X204" s="1">
        <v>0.68700000000000006</v>
      </c>
      <c r="Y204" s="1">
        <f>(O204-P204)/O204</f>
        <v>0.1056297676643365</v>
      </c>
      <c r="Z204" s="2">
        <f>P204/M204</f>
        <v>1.9051667409624489</v>
      </c>
    </row>
    <row r="205" spans="1:26" x14ac:dyDescent="0.45">
      <c r="A205" t="s">
        <v>188</v>
      </c>
      <c r="B205" t="s">
        <v>95</v>
      </c>
      <c r="C205" t="s">
        <v>171</v>
      </c>
      <c r="D205" t="s">
        <v>34</v>
      </c>
      <c r="E205" t="s">
        <v>35</v>
      </c>
      <c r="F205">
        <v>690</v>
      </c>
      <c r="G205">
        <v>201649</v>
      </c>
      <c r="H205" s="1">
        <v>0.08</v>
      </c>
      <c r="I205">
        <v>552</v>
      </c>
      <c r="J205">
        <v>65694</v>
      </c>
      <c r="K205" s="10">
        <v>0.499</v>
      </c>
      <c r="L205">
        <v>18</v>
      </c>
      <c r="M205">
        <v>95208</v>
      </c>
      <c r="O205">
        <v>190646</v>
      </c>
      <c r="P205">
        <v>171068</v>
      </c>
      <c r="Q205" s="1">
        <v>0.2</v>
      </c>
      <c r="R205" s="1">
        <v>0.2</v>
      </c>
      <c r="S205" s="1">
        <v>0.35499999999999998</v>
      </c>
      <c r="T205" s="1">
        <v>0.27300000000000002</v>
      </c>
      <c r="U205">
        <v>10669</v>
      </c>
      <c r="V205" s="1">
        <v>8.1000000000000003E-2</v>
      </c>
      <c r="W205">
        <v>2494</v>
      </c>
      <c r="X205" s="1">
        <v>0.92900000000000005</v>
      </c>
      <c r="Y205" s="1">
        <f>(O205-P205)/O205</f>
        <v>0.10269294923575632</v>
      </c>
      <c r="Z205" s="2">
        <f>P205/M205</f>
        <v>1.7967817830434418</v>
      </c>
    </row>
    <row r="206" spans="1:26" x14ac:dyDescent="0.45">
      <c r="A206" t="s">
        <v>333</v>
      </c>
      <c r="B206" t="s">
        <v>334</v>
      </c>
      <c r="C206" t="s">
        <v>326</v>
      </c>
      <c r="D206" t="s">
        <v>44</v>
      </c>
      <c r="E206" t="s">
        <v>30</v>
      </c>
      <c r="F206">
        <v>465</v>
      </c>
      <c r="G206">
        <v>284435</v>
      </c>
      <c r="H206" s="1">
        <v>0.108</v>
      </c>
      <c r="I206">
        <v>1797</v>
      </c>
      <c r="J206">
        <v>46074</v>
      </c>
      <c r="K206" s="10">
        <v>0.39600000000000002</v>
      </c>
      <c r="L206">
        <v>19</v>
      </c>
      <c r="M206">
        <v>99083</v>
      </c>
      <c r="O206">
        <v>249897</v>
      </c>
      <c r="P206">
        <v>223879</v>
      </c>
      <c r="Q206" s="1">
        <v>0.214</v>
      </c>
      <c r="R206" s="1">
        <v>0.2</v>
      </c>
      <c r="S206" s="1">
        <v>0.40100000000000002</v>
      </c>
      <c r="T206" s="1">
        <v>0.32300000000000001</v>
      </c>
      <c r="U206">
        <v>10921</v>
      </c>
      <c r="V206" s="1">
        <v>9.5000000000000001E-2</v>
      </c>
      <c r="W206">
        <v>3727</v>
      </c>
      <c r="X206" s="1">
        <v>0.22900000000000001</v>
      </c>
      <c r="Y206" s="1">
        <f>(O206-P206)/O206</f>
        <v>0.10411489533687879</v>
      </c>
      <c r="Z206" s="2">
        <f>P206/M206</f>
        <v>2.2595097039855476</v>
      </c>
    </row>
    <row r="207" spans="1:26" x14ac:dyDescent="0.45">
      <c r="A207" t="s">
        <v>333</v>
      </c>
      <c r="B207" t="s">
        <v>334</v>
      </c>
      <c r="C207" t="s">
        <v>326</v>
      </c>
      <c r="D207" t="s">
        <v>44</v>
      </c>
      <c r="E207" t="s">
        <v>35</v>
      </c>
      <c r="F207">
        <v>465</v>
      </c>
      <c r="G207">
        <v>284435</v>
      </c>
      <c r="H207" s="1">
        <v>0.108</v>
      </c>
      <c r="I207">
        <v>1758</v>
      </c>
      <c r="J207">
        <v>46074</v>
      </c>
      <c r="K207" s="10">
        <v>0.40500000000000003</v>
      </c>
      <c r="L207">
        <v>19</v>
      </c>
      <c r="M207">
        <v>99083</v>
      </c>
      <c r="O207">
        <v>244464</v>
      </c>
      <c r="P207">
        <v>219012</v>
      </c>
      <c r="Q207" s="1">
        <v>0.216</v>
      </c>
      <c r="R207" s="1">
        <v>0.2</v>
      </c>
      <c r="S207" s="1">
        <v>0.40400000000000003</v>
      </c>
      <c r="T207" s="1">
        <v>0.32600000000000001</v>
      </c>
      <c r="U207">
        <v>9964</v>
      </c>
      <c r="V207" s="1">
        <v>8.8000000000000009E-2</v>
      </c>
      <c r="W207">
        <v>3727</v>
      </c>
      <c r="X207" s="1">
        <v>0.22900000000000001</v>
      </c>
      <c r="Y207" s="1">
        <f>(O207-P207)/O207</f>
        <v>0.10411348910268997</v>
      </c>
      <c r="Z207" s="2">
        <f>P207/M207</f>
        <v>2.2103892696022527</v>
      </c>
    </row>
    <row r="208" spans="1:26" x14ac:dyDescent="0.45">
      <c r="A208" t="s">
        <v>256</v>
      </c>
      <c r="B208" t="s">
        <v>257</v>
      </c>
      <c r="C208" t="s">
        <v>253</v>
      </c>
      <c r="D208" t="s">
        <v>34</v>
      </c>
      <c r="E208" t="s">
        <v>83</v>
      </c>
      <c r="F208">
        <v>180</v>
      </c>
      <c r="G208">
        <v>209222</v>
      </c>
      <c r="H208" s="1">
        <v>3.5000000000000003E-2</v>
      </c>
      <c r="I208">
        <v>248</v>
      </c>
      <c r="J208">
        <v>15646</v>
      </c>
      <c r="K208" s="10">
        <v>0.44600000000000001</v>
      </c>
      <c r="L208">
        <v>8</v>
      </c>
      <c r="M208">
        <v>86923</v>
      </c>
      <c r="O208">
        <v>194856</v>
      </c>
      <c r="P208">
        <v>177581</v>
      </c>
      <c r="Q208" s="1">
        <v>0.249</v>
      </c>
      <c r="R208" s="1">
        <v>0.2</v>
      </c>
      <c r="S208" s="1">
        <v>0.46</v>
      </c>
      <c r="T208" s="1">
        <v>0.40500000000000003</v>
      </c>
      <c r="U208">
        <v>9058</v>
      </c>
      <c r="V208" s="1">
        <v>0.26100000000000001</v>
      </c>
      <c r="W208">
        <v>2796</v>
      </c>
      <c r="X208" s="1">
        <v>0.51900000000000002</v>
      </c>
      <c r="Y208" s="1">
        <f>(O208-P208)/O208</f>
        <v>8.8655212054029639E-2</v>
      </c>
      <c r="Z208" s="2">
        <f>P208/M208</f>
        <v>2.0429690645743936</v>
      </c>
    </row>
    <row r="209" spans="1:26" x14ac:dyDescent="0.45">
      <c r="A209" t="s">
        <v>256</v>
      </c>
      <c r="B209" t="s">
        <v>257</v>
      </c>
      <c r="C209" t="s">
        <v>253</v>
      </c>
      <c r="D209" t="s">
        <v>34</v>
      </c>
      <c r="E209" t="s">
        <v>35</v>
      </c>
      <c r="F209">
        <v>180</v>
      </c>
      <c r="G209">
        <v>209222</v>
      </c>
      <c r="H209" s="1">
        <v>1.6E-2</v>
      </c>
      <c r="I209">
        <v>49</v>
      </c>
      <c r="J209">
        <v>19195</v>
      </c>
      <c r="K209" s="10">
        <v>0.55700000000000005</v>
      </c>
      <c r="L209">
        <v>8</v>
      </c>
      <c r="M209">
        <v>106637</v>
      </c>
      <c r="O209">
        <v>191278</v>
      </c>
      <c r="P209">
        <v>174495</v>
      </c>
      <c r="Q209" s="1">
        <v>-0.68799999999999994</v>
      </c>
      <c r="R209" s="1">
        <v>0.2</v>
      </c>
      <c r="S209" s="1">
        <v>0.30499999999999999</v>
      </c>
      <c r="T209" s="1">
        <v>0.23300000000000001</v>
      </c>
      <c r="U209">
        <v>9058</v>
      </c>
      <c r="V209" s="1">
        <v>0.26100000000000001</v>
      </c>
      <c r="W209">
        <v>2796</v>
      </c>
      <c r="X209" s="1">
        <v>0.51900000000000002</v>
      </c>
      <c r="Y209" s="1">
        <f>(O209-P209)/O209</f>
        <v>8.7741402565898852E-2</v>
      </c>
      <c r="Z209" s="2">
        <f>P209/M209</f>
        <v>1.6363457336571734</v>
      </c>
    </row>
    <row r="210" spans="1:26" x14ac:dyDescent="0.45">
      <c r="A210" t="s">
        <v>310</v>
      </c>
      <c r="B210" t="s">
        <v>311</v>
      </c>
      <c r="C210" t="s">
        <v>307</v>
      </c>
      <c r="D210" t="s">
        <v>312</v>
      </c>
      <c r="E210" t="s">
        <v>30</v>
      </c>
      <c r="F210">
        <v>500</v>
      </c>
      <c r="G210">
        <v>261764</v>
      </c>
      <c r="H210" s="1">
        <v>0.152</v>
      </c>
      <c r="I210">
        <v>835</v>
      </c>
      <c r="J210">
        <v>46405</v>
      </c>
      <c r="K210" s="10">
        <v>0.36499999999999999</v>
      </c>
      <c r="L210">
        <v>13</v>
      </c>
      <c r="M210">
        <v>92809</v>
      </c>
      <c r="O210">
        <v>254553</v>
      </c>
      <c r="P210">
        <v>235302</v>
      </c>
      <c r="Q210" s="1">
        <v>0.2</v>
      </c>
      <c r="R210" s="1">
        <v>0.2</v>
      </c>
      <c r="S210" s="1">
        <v>0.39700000000000002</v>
      </c>
      <c r="T210" s="1">
        <v>0.34300000000000003</v>
      </c>
      <c r="U210">
        <v>19818</v>
      </c>
      <c r="V210" s="1">
        <v>0.158</v>
      </c>
      <c r="W210">
        <v>5019</v>
      </c>
      <c r="X210" s="1">
        <v>0</v>
      </c>
      <c r="Y210" s="1">
        <f>(O210-P210)/O210</f>
        <v>7.5626686780356153E-2</v>
      </c>
      <c r="Z210" s="2">
        <f>P210/M210</f>
        <v>2.535336012671185</v>
      </c>
    </row>
    <row r="211" spans="1:26" x14ac:dyDescent="0.45">
      <c r="A211" t="s">
        <v>310</v>
      </c>
      <c r="B211" t="s">
        <v>311</v>
      </c>
      <c r="C211" t="s">
        <v>307</v>
      </c>
      <c r="D211" t="s">
        <v>312</v>
      </c>
      <c r="E211" t="s">
        <v>35</v>
      </c>
      <c r="F211">
        <v>500</v>
      </c>
      <c r="G211">
        <v>261764</v>
      </c>
      <c r="H211" s="1">
        <v>0.151</v>
      </c>
      <c r="I211">
        <v>835</v>
      </c>
      <c r="J211">
        <v>46706</v>
      </c>
      <c r="K211" s="10">
        <v>0.36299999999999999</v>
      </c>
      <c r="L211">
        <v>13</v>
      </c>
      <c r="M211">
        <v>93411</v>
      </c>
      <c r="O211">
        <v>257312</v>
      </c>
      <c r="P211">
        <v>238061</v>
      </c>
      <c r="Q211" s="1">
        <v>0.20100000000000001</v>
      </c>
      <c r="R211" s="1">
        <v>0.2</v>
      </c>
      <c r="S211" s="1">
        <v>0.39800000000000002</v>
      </c>
      <c r="T211" s="1">
        <v>0.34399999999999997</v>
      </c>
      <c r="U211">
        <v>17781</v>
      </c>
      <c r="V211" s="1">
        <v>0.14000000000000001</v>
      </c>
      <c r="W211">
        <v>5019</v>
      </c>
      <c r="X211" s="1">
        <v>0</v>
      </c>
      <c r="Y211" s="1">
        <f>(O211-P211)/O211</f>
        <v>7.4815787837333669E-2</v>
      </c>
      <c r="Z211" s="2">
        <f>P211/M211</f>
        <v>2.5485328280395243</v>
      </c>
    </row>
    <row r="212" spans="1:26" x14ac:dyDescent="0.45">
      <c r="A212" t="s">
        <v>166</v>
      </c>
      <c r="B212" t="s">
        <v>167</v>
      </c>
      <c r="C212" t="s">
        <v>162</v>
      </c>
      <c r="D212" t="s">
        <v>168</v>
      </c>
      <c r="E212" t="s">
        <v>30</v>
      </c>
      <c r="F212">
        <v>2154</v>
      </c>
      <c r="G212">
        <v>225659</v>
      </c>
      <c r="H212" s="1">
        <v>7.400000000000001E-2</v>
      </c>
      <c r="I212">
        <v>1947</v>
      </c>
      <c r="J212" s="6">
        <v>213351</v>
      </c>
      <c r="K212" s="10">
        <v>0.44800000000000001</v>
      </c>
      <c r="L212">
        <v>24</v>
      </c>
      <c r="M212">
        <v>99049</v>
      </c>
      <c r="O212">
        <v>220996</v>
      </c>
      <c r="P212">
        <v>204180</v>
      </c>
      <c r="Q212" s="1">
        <v>0.21299999999999999</v>
      </c>
      <c r="R212" s="1">
        <v>0.2</v>
      </c>
      <c r="S212" s="1">
        <v>0.38</v>
      </c>
      <c r="T212" s="1">
        <v>0.32200000000000001</v>
      </c>
      <c r="U212">
        <v>20390</v>
      </c>
      <c r="V212" s="1">
        <v>3.4000000000000002E-2</v>
      </c>
      <c r="W212">
        <v>3397</v>
      </c>
      <c r="X212" s="1">
        <v>0.24199999999999999</v>
      </c>
      <c r="Y212" s="1">
        <f>(O212-P212)/O212</f>
        <v>7.6091874966062734E-2</v>
      </c>
      <c r="Z212" s="2">
        <f>P212/M212</f>
        <v>2.0614039515795213</v>
      </c>
    </row>
    <row r="213" spans="1:26" x14ac:dyDescent="0.45">
      <c r="A213" t="s">
        <v>411</v>
      </c>
      <c r="B213" t="s">
        <v>412</v>
      </c>
      <c r="C213" t="s">
        <v>413</v>
      </c>
      <c r="D213" t="s">
        <v>29</v>
      </c>
      <c r="E213" t="s">
        <v>30</v>
      </c>
      <c r="F213">
        <v>1036</v>
      </c>
      <c r="G213">
        <v>397788</v>
      </c>
      <c r="H213" s="5">
        <v>0.17199999999999999</v>
      </c>
      <c r="I213" s="7">
        <v>4452</v>
      </c>
      <c r="J213">
        <v>114783</v>
      </c>
      <c r="K213" s="11">
        <v>0.28999999999999998</v>
      </c>
      <c r="L213">
        <v>20</v>
      </c>
      <c r="M213">
        <v>110794</v>
      </c>
      <c r="O213">
        <v>382054</v>
      </c>
      <c r="P213" s="6">
        <v>362125</v>
      </c>
      <c r="Q213" s="1">
        <v>0.23300000000000001</v>
      </c>
      <c r="R213" s="1">
        <v>0.22</v>
      </c>
      <c r="S213" s="1">
        <v>0.45100000000000001</v>
      </c>
      <c r="T213" s="5">
        <v>0.41699999999999998</v>
      </c>
      <c r="U213" s="7">
        <v>30190</v>
      </c>
      <c r="V213" s="1">
        <v>7.2000000000000008E-2</v>
      </c>
      <c r="W213" s="6">
        <v>8739</v>
      </c>
      <c r="X213" s="1">
        <v>0</v>
      </c>
      <c r="Y213" s="1">
        <f>(O213-P213)/O213</f>
        <v>5.2162783271474715E-2</v>
      </c>
      <c r="Z213" s="2">
        <f>P213/M213</f>
        <v>3.2684531653338627</v>
      </c>
    </row>
    <row r="214" spans="1:26" x14ac:dyDescent="0.45">
      <c r="A214" t="s">
        <v>189</v>
      </c>
      <c r="B214" t="s">
        <v>190</v>
      </c>
      <c r="C214" t="s">
        <v>171</v>
      </c>
      <c r="D214" t="s">
        <v>168</v>
      </c>
      <c r="E214" t="s">
        <v>30</v>
      </c>
      <c r="F214">
        <v>353</v>
      </c>
      <c r="G214">
        <v>283116</v>
      </c>
      <c r="H214" s="1">
        <v>0.10100000000000001</v>
      </c>
      <c r="I214">
        <v>3310</v>
      </c>
      <c r="J214">
        <v>38976</v>
      </c>
      <c r="K214" s="10">
        <v>0.39500000000000002</v>
      </c>
      <c r="L214">
        <v>19</v>
      </c>
      <c r="M214">
        <v>110414</v>
      </c>
      <c r="O214">
        <v>279666</v>
      </c>
      <c r="P214">
        <v>258847</v>
      </c>
      <c r="Q214" s="1">
        <v>0.2</v>
      </c>
      <c r="R214" s="1">
        <v>0.2</v>
      </c>
      <c r="S214" s="1">
        <v>0.40500000000000003</v>
      </c>
      <c r="T214" s="1">
        <v>0.35399999999999998</v>
      </c>
      <c r="U214">
        <v>15946</v>
      </c>
      <c r="V214" s="1">
        <v>0.14799999999999999</v>
      </c>
      <c r="W214">
        <v>4791</v>
      </c>
      <c r="X214" s="1">
        <v>0</v>
      </c>
      <c r="Y214" s="1">
        <f>(O214-P214)/O214</f>
        <v>7.4442370542003672E-2</v>
      </c>
      <c r="Z214" s="2">
        <f>P214/M214</f>
        <v>2.3443313347945005</v>
      </c>
    </row>
    <row r="215" spans="1:26" x14ac:dyDescent="0.45">
      <c r="A215" t="s">
        <v>79</v>
      </c>
      <c r="B215" t="s">
        <v>80</v>
      </c>
      <c r="C215" t="s">
        <v>78</v>
      </c>
      <c r="D215" t="s">
        <v>29</v>
      </c>
      <c r="E215" t="s">
        <v>30</v>
      </c>
      <c r="F215">
        <v>858</v>
      </c>
      <c r="G215">
        <v>239815</v>
      </c>
      <c r="H215" s="1">
        <v>7.400000000000001E-2</v>
      </c>
      <c r="I215">
        <v>1226</v>
      </c>
      <c r="J215">
        <v>83471</v>
      </c>
      <c r="K215" s="10">
        <v>0.41099999999999998</v>
      </c>
      <c r="L215">
        <v>20</v>
      </c>
      <c r="M215">
        <v>97286</v>
      </c>
      <c r="O215">
        <v>215425</v>
      </c>
      <c r="P215">
        <v>215425</v>
      </c>
      <c r="Q215" s="1">
        <v>0.20399999999999999</v>
      </c>
      <c r="R215" s="1">
        <v>0.2</v>
      </c>
      <c r="S215" s="1">
        <v>0.42799999999999999</v>
      </c>
      <c r="T215" s="1">
        <v>0.36499999999999999</v>
      </c>
      <c r="U215">
        <v>25252</v>
      </c>
      <c r="V215" s="1">
        <v>0.115</v>
      </c>
      <c r="W215">
        <v>3253</v>
      </c>
      <c r="X215" s="1">
        <v>0.28999999999999998</v>
      </c>
      <c r="Y215" s="1">
        <f>(O215-P215)/O215</f>
        <v>0</v>
      </c>
      <c r="Z215" s="2">
        <f>P215/M215</f>
        <v>2.2143473881133975</v>
      </c>
    </row>
    <row r="216" spans="1:26" x14ac:dyDescent="0.45">
      <c r="A216" t="s">
        <v>205</v>
      </c>
      <c r="B216" t="s">
        <v>80</v>
      </c>
      <c r="C216" t="s">
        <v>203</v>
      </c>
      <c r="D216" t="s">
        <v>29</v>
      </c>
      <c r="E216" t="s">
        <v>30</v>
      </c>
      <c r="F216">
        <v>858</v>
      </c>
      <c r="G216">
        <v>239815</v>
      </c>
      <c r="H216" s="1">
        <v>7.2000000000000008E-2</v>
      </c>
      <c r="I216">
        <v>1226</v>
      </c>
      <c r="J216">
        <v>83527</v>
      </c>
      <c r="K216" s="10">
        <v>0.40100000000000002</v>
      </c>
      <c r="L216">
        <v>20</v>
      </c>
      <c r="M216">
        <v>97350</v>
      </c>
      <c r="O216">
        <v>243026</v>
      </c>
      <c r="P216">
        <v>223666</v>
      </c>
      <c r="Q216" s="1">
        <v>0.20799999999999999</v>
      </c>
      <c r="R216" s="1">
        <v>0.2</v>
      </c>
      <c r="S216" s="1">
        <v>0.434</v>
      </c>
      <c r="T216" s="1">
        <v>0.37799999999999989</v>
      </c>
      <c r="U216">
        <v>25315</v>
      </c>
      <c r="V216" s="1">
        <v>0.114</v>
      </c>
      <c r="W216">
        <v>4166</v>
      </c>
      <c r="X216" s="1">
        <v>0</v>
      </c>
      <c r="Y216" s="1">
        <f>(O216-P216)/O216</f>
        <v>7.9662258359187901E-2</v>
      </c>
      <c r="Z216" s="2">
        <f>P216/M216</f>
        <v>2.2975449409347712</v>
      </c>
    </row>
    <row r="217" spans="1:26" x14ac:dyDescent="0.45">
      <c r="A217" t="s">
        <v>441</v>
      </c>
      <c r="B217" t="s">
        <v>442</v>
      </c>
      <c r="C217" t="s">
        <v>440</v>
      </c>
      <c r="D217" t="s">
        <v>204</v>
      </c>
      <c r="E217" t="s">
        <v>30</v>
      </c>
      <c r="F217">
        <v>530</v>
      </c>
      <c r="G217">
        <v>223728</v>
      </c>
      <c r="H217" s="1">
        <v>0.04</v>
      </c>
      <c r="I217">
        <v>654</v>
      </c>
      <c r="J217">
        <v>55446</v>
      </c>
      <c r="K217" s="10">
        <v>0.47599999999999998</v>
      </c>
      <c r="L217">
        <v>20</v>
      </c>
      <c r="M217">
        <v>104616</v>
      </c>
      <c r="N217" s="1">
        <v>-4.0000000000000001E-3</v>
      </c>
      <c r="O217">
        <v>219741</v>
      </c>
      <c r="P217">
        <v>198645</v>
      </c>
      <c r="Q217" s="1">
        <v>0.188</v>
      </c>
      <c r="R217" s="1">
        <v>0.22</v>
      </c>
      <c r="S217" s="1">
        <v>0.38100000000000001</v>
      </c>
      <c r="T217" s="1">
        <v>0.30399999999999999</v>
      </c>
      <c r="U217">
        <v>18137</v>
      </c>
      <c r="V217" s="1">
        <v>0.156</v>
      </c>
      <c r="W217">
        <v>2506</v>
      </c>
      <c r="X217" s="1">
        <v>0.76200000000000001</v>
      </c>
      <c r="Y217" s="1">
        <f>(O217-P217)/O217</f>
        <v>9.6003931901647854E-2</v>
      </c>
      <c r="Z217" s="2">
        <f>P217/M217</f>
        <v>1.8988013305804083</v>
      </c>
    </row>
    <row r="218" spans="1:26" x14ac:dyDescent="0.45">
      <c r="A218" t="s">
        <v>441</v>
      </c>
      <c r="B218" t="s">
        <v>442</v>
      </c>
      <c r="C218" t="s">
        <v>440</v>
      </c>
      <c r="D218" t="s">
        <v>204</v>
      </c>
      <c r="E218" t="s">
        <v>35</v>
      </c>
      <c r="F218">
        <v>530</v>
      </c>
      <c r="G218">
        <v>223728</v>
      </c>
      <c r="H218" s="1">
        <v>3.7999999999999999E-2</v>
      </c>
      <c r="I218">
        <v>654</v>
      </c>
      <c r="J218">
        <v>56211</v>
      </c>
      <c r="K218" s="10">
        <v>0.45400000000000001</v>
      </c>
      <c r="L218">
        <v>20</v>
      </c>
      <c r="M218">
        <v>106058</v>
      </c>
      <c r="N218" s="1">
        <v>-3.0000000000000001E-3</v>
      </c>
      <c r="O218">
        <v>233435</v>
      </c>
      <c r="P218">
        <v>211026</v>
      </c>
      <c r="Q218" s="1">
        <v>0.22</v>
      </c>
      <c r="R218" s="1">
        <v>0.22</v>
      </c>
      <c r="S218" s="1">
        <v>0.41099999999999998</v>
      </c>
      <c r="T218" s="1">
        <v>0.33900000000000002</v>
      </c>
      <c r="U218">
        <v>17313</v>
      </c>
      <c r="V218" s="1">
        <v>0.14000000000000001</v>
      </c>
      <c r="W218">
        <v>2506</v>
      </c>
      <c r="X218" s="1">
        <v>0.65200000000000002</v>
      </c>
      <c r="Y218" s="1">
        <f>(O218-P218)/O218</f>
        <v>9.5996744275708437E-2</v>
      </c>
      <c r="Z218" s="2">
        <f>P218/M218</f>
        <v>1.9897226046125704</v>
      </c>
    </row>
    <row r="219" spans="1:26" x14ac:dyDescent="0.45">
      <c r="A219" t="s">
        <v>209</v>
      </c>
      <c r="B219" t="s">
        <v>210</v>
      </c>
      <c r="C219" t="s">
        <v>211</v>
      </c>
      <c r="D219" t="s">
        <v>44</v>
      </c>
      <c r="E219" t="s">
        <v>35</v>
      </c>
      <c r="F219">
        <v>530</v>
      </c>
      <c r="G219">
        <v>241000</v>
      </c>
      <c r="H219" s="1">
        <v>6.6000000000000003E-2</v>
      </c>
      <c r="I219">
        <v>1533</v>
      </c>
      <c r="J219">
        <v>55992</v>
      </c>
      <c r="K219" s="10">
        <v>0.45500000000000002</v>
      </c>
      <c r="L219">
        <v>23</v>
      </c>
      <c r="M219">
        <v>105646</v>
      </c>
      <c r="O219">
        <v>231994</v>
      </c>
      <c r="P219">
        <v>215015</v>
      </c>
      <c r="Q219" s="1">
        <v>0.20100000000000001</v>
      </c>
      <c r="R219" s="1">
        <v>0.2</v>
      </c>
      <c r="S219" s="1">
        <v>0.371</v>
      </c>
      <c r="T219" s="1">
        <v>0.314</v>
      </c>
      <c r="U219">
        <v>10106</v>
      </c>
      <c r="V219" s="1">
        <v>8.3000000000000004E-2</v>
      </c>
      <c r="W219">
        <v>3409</v>
      </c>
      <c r="X219" s="1">
        <v>0.25</v>
      </c>
      <c r="Y219" s="1">
        <f>(O219-P219)/O219</f>
        <v>7.3187237600972441E-2</v>
      </c>
      <c r="Z219" s="2">
        <f>P219/M219</f>
        <v>2.0352403309164568</v>
      </c>
    </row>
    <row r="220" spans="1:26" x14ac:dyDescent="0.45">
      <c r="A220" t="s">
        <v>119</v>
      </c>
      <c r="B220" t="s">
        <v>120</v>
      </c>
      <c r="C220" t="s">
        <v>117</v>
      </c>
      <c r="D220" t="s">
        <v>29</v>
      </c>
      <c r="E220" t="s">
        <v>30</v>
      </c>
      <c r="F220">
        <v>345</v>
      </c>
      <c r="G220">
        <v>213945</v>
      </c>
      <c r="H220" s="1">
        <v>8.8000000000000009E-2</v>
      </c>
      <c r="I220">
        <v>623</v>
      </c>
      <c r="J220">
        <v>32167</v>
      </c>
      <c r="K220" s="10">
        <v>0.434</v>
      </c>
      <c r="L220">
        <v>12</v>
      </c>
      <c r="M220">
        <v>93239</v>
      </c>
      <c r="O220">
        <v>214703</v>
      </c>
      <c r="P220">
        <v>190950</v>
      </c>
      <c r="Q220" s="1">
        <v>0.215</v>
      </c>
      <c r="R220" s="1">
        <v>0.2</v>
      </c>
      <c r="S220" s="1">
        <v>0.40500000000000003</v>
      </c>
      <c r="T220" s="1">
        <v>0.32500000000000001</v>
      </c>
      <c r="U220">
        <v>12387</v>
      </c>
      <c r="V220" s="1">
        <v>0.157</v>
      </c>
      <c r="W220">
        <v>3368</v>
      </c>
      <c r="X220" s="1">
        <v>0.35899999999999999</v>
      </c>
      <c r="Y220" s="1">
        <f>(O220-P220)/O220</f>
        <v>0.11063189615422235</v>
      </c>
      <c r="Z220" s="2">
        <f>P220/M220</f>
        <v>2.0479627623633889</v>
      </c>
    </row>
    <row r="221" spans="1:26" x14ac:dyDescent="0.45">
      <c r="A221" t="s">
        <v>229</v>
      </c>
      <c r="B221" t="s">
        <v>230</v>
      </c>
      <c r="C221" t="s">
        <v>228</v>
      </c>
      <c r="D221" t="s">
        <v>44</v>
      </c>
      <c r="E221" t="s">
        <v>35</v>
      </c>
      <c r="F221">
        <v>819</v>
      </c>
      <c r="G221">
        <v>233594</v>
      </c>
      <c r="H221" s="1">
        <v>0.08</v>
      </c>
      <c r="I221">
        <v>1082</v>
      </c>
      <c r="J221">
        <v>78305</v>
      </c>
      <c r="K221" s="10">
        <v>0.40600000000000003</v>
      </c>
      <c r="L221">
        <v>23</v>
      </c>
      <c r="M221">
        <v>95610</v>
      </c>
      <c r="O221">
        <v>235663</v>
      </c>
      <c r="P221">
        <v>215834</v>
      </c>
      <c r="Q221" s="1">
        <v>0.24</v>
      </c>
      <c r="R221" s="1">
        <v>0.2</v>
      </c>
      <c r="S221" s="1">
        <v>0.42099999999999999</v>
      </c>
      <c r="T221" s="1">
        <v>0.36</v>
      </c>
      <c r="U221">
        <v>15432</v>
      </c>
      <c r="V221">
        <v>8.1000000000000003E-2</v>
      </c>
      <c r="W221">
        <v>3248</v>
      </c>
      <c r="X221" s="1">
        <v>0.38700000000000001</v>
      </c>
      <c r="Y221" s="1">
        <f>(O221-P221)/O221</f>
        <v>8.4141337418262518E-2</v>
      </c>
      <c r="Z221" s="2">
        <f>P221/M221</f>
        <v>2.2574416901997698</v>
      </c>
    </row>
    <row r="222" spans="1:26" x14ac:dyDescent="0.45">
      <c r="A222" t="s">
        <v>229</v>
      </c>
      <c r="B222" t="s">
        <v>230</v>
      </c>
      <c r="C222" t="s">
        <v>228</v>
      </c>
      <c r="D222" t="s">
        <v>44</v>
      </c>
      <c r="E222" t="s">
        <v>30</v>
      </c>
      <c r="F222">
        <v>819</v>
      </c>
      <c r="G222">
        <v>233594</v>
      </c>
      <c r="H222" s="1">
        <v>0.08</v>
      </c>
      <c r="I222">
        <v>1716</v>
      </c>
      <c r="J222">
        <v>78305</v>
      </c>
      <c r="K222" s="10">
        <v>0.41099999999999998</v>
      </c>
      <c r="L222">
        <v>23</v>
      </c>
      <c r="M222">
        <v>95610</v>
      </c>
      <c r="O222">
        <v>232817</v>
      </c>
      <c r="P222">
        <v>212989</v>
      </c>
      <c r="Q222" s="1">
        <v>0.23599999999999999</v>
      </c>
      <c r="R222" s="1">
        <v>0.2</v>
      </c>
      <c r="S222" s="1">
        <v>0.42099999999999999</v>
      </c>
      <c r="T222" s="1">
        <v>0.35899999999999999</v>
      </c>
      <c r="U222">
        <v>15432</v>
      </c>
      <c r="V222" s="1">
        <v>8.1000000000000003E-2</v>
      </c>
      <c r="W222">
        <v>3248</v>
      </c>
      <c r="X222" s="1">
        <v>0.38700000000000001</v>
      </c>
      <c r="Y222" s="1">
        <f>(O222-P222)/O222</f>
        <v>8.5165602168226551E-2</v>
      </c>
      <c r="Z222" s="2">
        <f>P222/M222</f>
        <v>2.2276853885576822</v>
      </c>
    </row>
    <row r="223" spans="1:26" x14ac:dyDescent="0.45">
      <c r="A223" t="s">
        <v>55</v>
      </c>
      <c r="B223" t="s">
        <v>56</v>
      </c>
      <c r="C223" t="s">
        <v>52</v>
      </c>
      <c r="D223" t="s">
        <v>34</v>
      </c>
      <c r="E223" t="s">
        <v>30</v>
      </c>
      <c r="F223">
        <v>316</v>
      </c>
      <c r="G223">
        <v>224993</v>
      </c>
      <c r="H223" s="1">
        <v>0.08</v>
      </c>
      <c r="I223">
        <v>467</v>
      </c>
      <c r="J223">
        <v>29690</v>
      </c>
      <c r="K223" s="10">
        <v>0.39400000000000002</v>
      </c>
      <c r="L223">
        <v>16</v>
      </c>
      <c r="M223">
        <v>93957</v>
      </c>
      <c r="O223">
        <v>238501</v>
      </c>
      <c r="P223">
        <v>211939</v>
      </c>
      <c r="Q223" s="1">
        <v>0.23699999999999999</v>
      </c>
      <c r="R223" s="1">
        <v>0.2</v>
      </c>
      <c r="S223" s="1">
        <v>0.44</v>
      </c>
      <c r="T223" s="1">
        <v>0.36199999999999999</v>
      </c>
      <c r="U223">
        <v>9159</v>
      </c>
      <c r="V223" s="1">
        <v>0.122</v>
      </c>
      <c r="W223">
        <v>3357</v>
      </c>
      <c r="X223" s="1">
        <v>0.18</v>
      </c>
      <c r="Y223" s="1">
        <f>(O223-P223)/O223</f>
        <v>0.11137060221969719</v>
      </c>
      <c r="Z223" s="2">
        <f>P223/M223</f>
        <v>2.255702076481795</v>
      </c>
    </row>
    <row r="224" spans="1:26" x14ac:dyDescent="0.45">
      <c r="A224" t="s">
        <v>55</v>
      </c>
      <c r="B224" t="s">
        <v>56</v>
      </c>
      <c r="C224" t="s">
        <v>52</v>
      </c>
      <c r="D224" t="s">
        <v>34</v>
      </c>
      <c r="E224" t="s">
        <v>35</v>
      </c>
      <c r="F224">
        <v>316</v>
      </c>
      <c r="G224">
        <v>224993</v>
      </c>
      <c r="H224" s="1">
        <v>0.08</v>
      </c>
      <c r="I224">
        <v>436</v>
      </c>
      <c r="J224">
        <v>29690</v>
      </c>
      <c r="K224" s="10">
        <v>0.42199999999999999</v>
      </c>
      <c r="L224">
        <v>14</v>
      </c>
      <c r="M224">
        <v>93957</v>
      </c>
      <c r="O224">
        <v>222567</v>
      </c>
      <c r="P224">
        <v>197433</v>
      </c>
      <c r="Q224" s="1">
        <v>0.24199999999999999</v>
      </c>
      <c r="R224" s="1">
        <v>0.2</v>
      </c>
      <c r="S224" s="1">
        <v>0.42299999999999999</v>
      </c>
      <c r="T224" s="1">
        <v>0.34300000000000003</v>
      </c>
      <c r="U224">
        <v>8709</v>
      </c>
      <c r="V224" s="1">
        <v>0.123</v>
      </c>
      <c r="W224">
        <v>3357</v>
      </c>
      <c r="X224" s="1">
        <v>0.39900000000000002</v>
      </c>
      <c r="Y224" s="1">
        <f>(O224-P224)/O224</f>
        <v>0.11292779252988988</v>
      </c>
      <c r="Z224" s="2">
        <f>P224/M224</f>
        <v>2.101312302436221</v>
      </c>
    </row>
    <row r="225" spans="1:26" x14ac:dyDescent="0.45">
      <c r="A225" t="s">
        <v>221</v>
      </c>
      <c r="B225" t="s">
        <v>222</v>
      </c>
      <c r="C225" t="s">
        <v>220</v>
      </c>
      <c r="D225" t="s">
        <v>44</v>
      </c>
      <c r="E225" t="s">
        <v>30</v>
      </c>
      <c r="F225">
        <v>1675</v>
      </c>
      <c r="G225">
        <v>257696</v>
      </c>
      <c r="H225" s="1">
        <v>7.0999999999999994E-2</v>
      </c>
      <c r="I225">
        <v>1067</v>
      </c>
      <c r="J225" s="7">
        <v>168632</v>
      </c>
      <c r="K225" s="10">
        <v>0.39100000000000001</v>
      </c>
      <c r="L225">
        <v>21</v>
      </c>
      <c r="M225">
        <v>100676</v>
      </c>
      <c r="O225">
        <v>257307</v>
      </c>
      <c r="P225">
        <v>233422</v>
      </c>
      <c r="Q225" s="1">
        <v>0.217</v>
      </c>
      <c r="R225" s="1">
        <v>0.2</v>
      </c>
      <c r="S225" s="1">
        <v>0.45600000000000002</v>
      </c>
      <c r="T225" s="1">
        <v>0.39300000000000002</v>
      </c>
      <c r="U225" s="7">
        <v>26555</v>
      </c>
      <c r="V225" s="1">
        <v>5.5999999999999987E-2</v>
      </c>
      <c r="W225">
        <v>4495</v>
      </c>
      <c r="X225" s="1">
        <v>0</v>
      </c>
      <c r="Y225" s="1">
        <f>(O225-P225)/O225</f>
        <v>9.2826856634292881E-2</v>
      </c>
      <c r="Z225" s="2">
        <f>P225/M225</f>
        <v>2.3185466248162423</v>
      </c>
    </row>
    <row r="226" spans="1:26" x14ac:dyDescent="0.45">
      <c r="A226" t="s">
        <v>221</v>
      </c>
      <c r="B226" t="s">
        <v>222</v>
      </c>
      <c r="C226" t="s">
        <v>220</v>
      </c>
      <c r="D226" t="s">
        <v>44</v>
      </c>
      <c r="E226" t="s">
        <v>35</v>
      </c>
      <c r="F226">
        <v>1675</v>
      </c>
      <c r="G226">
        <v>257696</v>
      </c>
      <c r="H226" s="1">
        <v>7.0999999999999994E-2</v>
      </c>
      <c r="I226">
        <v>1067</v>
      </c>
      <c r="J226" s="7">
        <v>168632</v>
      </c>
      <c r="K226" s="10">
        <v>0.39</v>
      </c>
      <c r="L226">
        <v>20</v>
      </c>
      <c r="M226">
        <v>100676</v>
      </c>
      <c r="O226">
        <v>258093</v>
      </c>
      <c r="P226">
        <v>233620</v>
      </c>
      <c r="Q226" s="1">
        <v>0.218</v>
      </c>
      <c r="R226" s="1">
        <v>0.2</v>
      </c>
      <c r="S226" s="1">
        <v>0.45700000000000002</v>
      </c>
      <c r="T226" s="1">
        <v>0.39300000000000002</v>
      </c>
      <c r="U226">
        <v>25772</v>
      </c>
      <c r="V226" s="1">
        <v>5.4000000000000013E-2</v>
      </c>
      <c r="W226">
        <v>4495</v>
      </c>
      <c r="X226" s="1">
        <v>0</v>
      </c>
      <c r="Y226" s="1">
        <f>(O226-P226)/O226</f>
        <v>9.4822408976609207E-2</v>
      </c>
      <c r="Z226" s="2">
        <f>P226/M226</f>
        <v>2.3205133298899439</v>
      </c>
    </row>
    <row r="227" spans="1:26" x14ac:dyDescent="0.45">
      <c r="A227" t="s">
        <v>113</v>
      </c>
      <c r="B227" t="s">
        <v>114</v>
      </c>
      <c r="C227" t="s">
        <v>110</v>
      </c>
      <c r="D227" t="s">
        <v>29</v>
      </c>
      <c r="E227" t="s">
        <v>30</v>
      </c>
      <c r="F227">
        <v>294</v>
      </c>
      <c r="G227">
        <v>209765</v>
      </c>
      <c r="H227" s="1">
        <v>5.5999999999999987E-2</v>
      </c>
      <c r="I227">
        <v>202</v>
      </c>
      <c r="J227">
        <v>27108</v>
      </c>
      <c r="K227" s="10">
        <v>0.43099999999999999</v>
      </c>
      <c r="L227">
        <v>12</v>
      </c>
      <c r="M227">
        <v>92205</v>
      </c>
      <c r="O227">
        <v>213984</v>
      </c>
      <c r="P227">
        <v>185778</v>
      </c>
      <c r="Q227" s="1">
        <v>0.214</v>
      </c>
      <c r="R227" s="1">
        <v>0.2</v>
      </c>
      <c r="S227" s="1">
        <v>0.42199999999999999</v>
      </c>
      <c r="T227" s="1">
        <v>0.32700000000000001</v>
      </c>
      <c r="U227">
        <v>12142</v>
      </c>
      <c r="V227" s="1">
        <v>0.17799999999999999</v>
      </c>
      <c r="W227">
        <v>2424</v>
      </c>
      <c r="X227" s="1">
        <v>0.67500000000000004</v>
      </c>
      <c r="Y227" s="1">
        <f>(O227-P227)/O227</f>
        <v>0.1318135935397039</v>
      </c>
      <c r="Z227" s="2">
        <f>P227/M227</f>
        <v>2.0148365056124939</v>
      </c>
    </row>
    <row r="228" spans="1:26" x14ac:dyDescent="0.45">
      <c r="A228" t="s">
        <v>385</v>
      </c>
      <c r="B228" t="s">
        <v>386</v>
      </c>
      <c r="C228" t="s">
        <v>379</v>
      </c>
      <c r="D228" t="s">
        <v>204</v>
      </c>
      <c r="E228" t="s">
        <v>30</v>
      </c>
      <c r="F228">
        <v>796</v>
      </c>
      <c r="G228">
        <v>268088</v>
      </c>
      <c r="H228" s="1">
        <v>7.9000000000000001E-2</v>
      </c>
      <c r="I228">
        <v>3621</v>
      </c>
      <c r="J228">
        <v>85911</v>
      </c>
      <c r="K228" s="10">
        <v>0.45</v>
      </c>
      <c r="L228">
        <v>27</v>
      </c>
      <c r="M228">
        <v>107929</v>
      </c>
      <c r="O228">
        <v>239881</v>
      </c>
      <c r="P228">
        <v>219296</v>
      </c>
      <c r="Q228" s="1">
        <v>0.2</v>
      </c>
      <c r="R228" s="1">
        <v>0.2</v>
      </c>
      <c r="S228" s="1">
        <v>0.371</v>
      </c>
      <c r="T228" s="1">
        <v>0.30299999999999999</v>
      </c>
      <c r="U228">
        <v>11753</v>
      </c>
      <c r="V228" s="1">
        <v>6.2E-2</v>
      </c>
      <c r="W228">
        <v>3700</v>
      </c>
      <c r="X228" s="1">
        <v>0.20300000000000001</v>
      </c>
      <c r="Y228" s="1">
        <f>(O228-P228)/O228</f>
        <v>8.5813382468807445E-2</v>
      </c>
      <c r="Z228" s="2">
        <f>P228/M228</f>
        <v>2.031854274569393</v>
      </c>
    </row>
    <row r="229" spans="1:26" x14ac:dyDescent="0.45">
      <c r="A229" t="s">
        <v>385</v>
      </c>
      <c r="B229" t="s">
        <v>386</v>
      </c>
      <c r="C229" t="s">
        <v>379</v>
      </c>
      <c r="D229" t="s">
        <v>204</v>
      </c>
      <c r="E229" t="s">
        <v>35</v>
      </c>
      <c r="F229">
        <v>796</v>
      </c>
      <c r="G229">
        <v>268088</v>
      </c>
      <c r="H229" s="1">
        <v>7.9000000000000001E-2</v>
      </c>
      <c r="I229">
        <v>3597</v>
      </c>
      <c r="J229">
        <v>85911</v>
      </c>
      <c r="K229" s="10">
        <v>0.45300000000000001</v>
      </c>
      <c r="L229">
        <v>27</v>
      </c>
      <c r="M229">
        <v>107929</v>
      </c>
      <c r="O229">
        <v>238310</v>
      </c>
      <c r="P229">
        <v>217414</v>
      </c>
      <c r="Q229" s="1">
        <v>0.19700000000000001</v>
      </c>
      <c r="R229" s="1">
        <v>0.2</v>
      </c>
      <c r="S229" s="1">
        <v>0.371</v>
      </c>
      <c r="T229" s="1">
        <v>0.30199999999999999</v>
      </c>
      <c r="U229">
        <v>14207</v>
      </c>
      <c r="V229" s="1">
        <v>7.4999999999999997E-2</v>
      </c>
      <c r="W229">
        <v>3700</v>
      </c>
      <c r="X229" s="1">
        <v>0.20300000000000001</v>
      </c>
      <c r="Y229" s="1">
        <f>(O229-P229)/O229</f>
        <v>8.7684108933741761E-2</v>
      </c>
      <c r="Z229" s="2">
        <f>P229/M229</f>
        <v>2.014416885174513</v>
      </c>
    </row>
    <row r="230" spans="1:26" x14ac:dyDescent="0.45">
      <c r="A230" t="s">
        <v>48</v>
      </c>
      <c r="B230" t="s">
        <v>49</v>
      </c>
      <c r="C230" t="s">
        <v>47</v>
      </c>
      <c r="D230" t="s">
        <v>44</v>
      </c>
      <c r="E230" t="s">
        <v>30</v>
      </c>
      <c r="F230">
        <v>538</v>
      </c>
      <c r="G230">
        <v>264796</v>
      </c>
      <c r="H230" s="1">
        <v>0.11</v>
      </c>
      <c r="I230">
        <v>1941</v>
      </c>
      <c r="J230">
        <v>50446</v>
      </c>
      <c r="K230" s="10">
        <v>0.36899999999999999</v>
      </c>
      <c r="L230">
        <v>20</v>
      </c>
      <c r="M230">
        <v>93766</v>
      </c>
      <c r="O230">
        <v>254371</v>
      </c>
      <c r="P230">
        <v>236077</v>
      </c>
      <c r="Q230" s="1">
        <v>0.21299999999999999</v>
      </c>
      <c r="R230" s="1">
        <v>0.2</v>
      </c>
      <c r="S230" s="1">
        <v>0.41299999999999998</v>
      </c>
      <c r="T230" s="1">
        <v>0.36199999999999999</v>
      </c>
      <c r="U230">
        <v>12773</v>
      </c>
      <c r="V230" s="1">
        <v>9.5000000000000001E-2</v>
      </c>
      <c r="W230">
        <v>4290</v>
      </c>
      <c r="X230" s="1">
        <v>0</v>
      </c>
      <c r="Y230" s="1">
        <f>(O230-P230)/O230</f>
        <v>7.1918575623793599E-2</v>
      </c>
      <c r="Z230" s="2">
        <f>P230/M230</f>
        <v>2.5177249749376105</v>
      </c>
    </row>
    <row r="231" spans="1:26" x14ac:dyDescent="0.45">
      <c r="A231" t="s">
        <v>48</v>
      </c>
      <c r="B231" t="s">
        <v>49</v>
      </c>
      <c r="C231" t="s">
        <v>47</v>
      </c>
      <c r="D231" t="s">
        <v>44</v>
      </c>
      <c r="E231" t="s">
        <v>35</v>
      </c>
      <c r="F231">
        <v>538</v>
      </c>
      <c r="G231">
        <v>264796</v>
      </c>
      <c r="H231" s="1">
        <v>0.11</v>
      </c>
      <c r="I231">
        <v>1990</v>
      </c>
      <c r="J231">
        <v>50446</v>
      </c>
      <c r="K231" s="10">
        <v>0.36</v>
      </c>
      <c r="L231">
        <v>20</v>
      </c>
      <c r="M231">
        <v>93766</v>
      </c>
      <c r="O231">
        <v>260736</v>
      </c>
      <c r="P231">
        <v>264796</v>
      </c>
      <c r="Q231" s="1">
        <v>0.221</v>
      </c>
      <c r="R231" s="1">
        <v>0.2</v>
      </c>
      <c r="S231" s="1">
        <v>0.41699999999999998</v>
      </c>
      <c r="T231" s="1">
        <v>0.36599999999999999</v>
      </c>
      <c r="U231">
        <v>8274</v>
      </c>
      <c r="V231" s="1">
        <v>0.06</v>
      </c>
      <c r="W231">
        <v>4290</v>
      </c>
      <c r="X231" s="1">
        <v>0</v>
      </c>
      <c r="Y231" s="1">
        <f>(O231-P231)/O231</f>
        <v>-1.5571305841924399E-2</v>
      </c>
      <c r="Z231" s="2">
        <f>P231/M231</f>
        <v>2.8240087025147709</v>
      </c>
    </row>
    <row r="232" spans="1:26" x14ac:dyDescent="0.45">
      <c r="A232" t="s">
        <v>191</v>
      </c>
      <c r="B232" t="s">
        <v>192</v>
      </c>
      <c r="C232" t="s">
        <v>171</v>
      </c>
      <c r="D232" t="s">
        <v>29</v>
      </c>
      <c r="E232" t="s">
        <v>30</v>
      </c>
      <c r="F232">
        <v>1230</v>
      </c>
      <c r="G232">
        <v>218057</v>
      </c>
      <c r="H232" s="1">
        <v>8.900000000000001E-2</v>
      </c>
      <c r="I232">
        <v>499</v>
      </c>
      <c r="J232">
        <v>111340</v>
      </c>
      <c r="K232" s="10">
        <v>0.441</v>
      </c>
      <c r="L232">
        <v>16</v>
      </c>
      <c r="M232">
        <v>90521</v>
      </c>
      <c r="O232">
        <v>205205</v>
      </c>
      <c r="P232">
        <v>187240</v>
      </c>
      <c r="Q232" s="1">
        <v>0.2</v>
      </c>
      <c r="R232" s="1">
        <v>0.2</v>
      </c>
      <c r="S232" s="1">
        <v>0.39800000000000002</v>
      </c>
      <c r="T232" s="1">
        <v>0.33500000000000002</v>
      </c>
      <c r="U232" s="7">
        <v>32063</v>
      </c>
      <c r="V232" s="1">
        <v>0.11700000000000001</v>
      </c>
      <c r="W232">
        <v>2537</v>
      </c>
      <c r="X232" s="1">
        <v>0.71099999999999997</v>
      </c>
      <c r="Y232" s="1">
        <f>(O232-P232)/O232</f>
        <v>8.7546599741721687E-2</v>
      </c>
      <c r="Z232" s="2">
        <f>P232/M232</f>
        <v>2.0684702997094595</v>
      </c>
    </row>
    <row r="233" spans="1:26" x14ac:dyDescent="0.45">
      <c r="A233" t="s">
        <v>403</v>
      </c>
      <c r="B233" t="s">
        <v>404</v>
      </c>
      <c r="C233" t="s">
        <v>402</v>
      </c>
      <c r="D233" t="s">
        <v>204</v>
      </c>
      <c r="E233" t="s">
        <v>30</v>
      </c>
      <c r="F233">
        <v>416</v>
      </c>
      <c r="G233">
        <v>203209</v>
      </c>
      <c r="H233" s="1">
        <v>2.3E-2</v>
      </c>
      <c r="I233">
        <v>130</v>
      </c>
      <c r="J233">
        <v>41788</v>
      </c>
      <c r="K233" s="10">
        <v>0.48599999999999999</v>
      </c>
      <c r="L233">
        <v>14</v>
      </c>
      <c r="M233">
        <v>100452</v>
      </c>
      <c r="O233">
        <v>206656</v>
      </c>
      <c r="P233">
        <v>189868</v>
      </c>
      <c r="Q233" s="1">
        <v>0.22</v>
      </c>
      <c r="R233" s="1">
        <v>0.2</v>
      </c>
      <c r="S233" s="1">
        <v>0.39200000000000002</v>
      </c>
      <c r="T233" s="1">
        <v>0.33300000000000002</v>
      </c>
      <c r="U233">
        <v>14156</v>
      </c>
      <c r="V233" s="1">
        <v>0.16600000000000001</v>
      </c>
      <c r="W233">
        <v>2682</v>
      </c>
      <c r="X233" s="1">
        <v>0.61899999999999999</v>
      </c>
      <c r="Y233" s="1">
        <f>(O233-P233)/O233</f>
        <v>8.1236450913595534E-2</v>
      </c>
      <c r="Z233" s="2">
        <f>P233/M233</f>
        <v>1.890136582646438</v>
      </c>
    </row>
    <row r="234" spans="1:26" x14ac:dyDescent="0.45">
      <c r="A234" t="s">
        <v>403</v>
      </c>
      <c r="B234" t="s">
        <v>404</v>
      </c>
      <c r="C234" t="s">
        <v>402</v>
      </c>
      <c r="D234" t="s">
        <v>204</v>
      </c>
      <c r="E234" t="s">
        <v>35</v>
      </c>
      <c r="F234">
        <v>416</v>
      </c>
      <c r="G234">
        <v>203209</v>
      </c>
      <c r="H234" s="1">
        <v>2.3E-2</v>
      </c>
      <c r="I234">
        <v>130</v>
      </c>
      <c r="J234">
        <v>41788</v>
      </c>
      <c r="K234" s="10">
        <v>0.48799999999999999</v>
      </c>
      <c r="L234">
        <v>14</v>
      </c>
      <c r="M234">
        <v>100452</v>
      </c>
      <c r="O234">
        <v>205711</v>
      </c>
      <c r="P234">
        <v>188922</v>
      </c>
      <c r="Q234" s="1">
        <v>0.215</v>
      </c>
      <c r="R234" s="1">
        <v>0.2</v>
      </c>
      <c r="S234" s="1">
        <v>0.38900000000000001</v>
      </c>
      <c r="T234" s="1">
        <v>0.33</v>
      </c>
      <c r="U234">
        <v>15164</v>
      </c>
      <c r="V234" s="1">
        <v>0.17899999999999999</v>
      </c>
      <c r="W234">
        <v>2682</v>
      </c>
      <c r="X234" s="1">
        <v>0.61899999999999999</v>
      </c>
      <c r="Y234" s="1">
        <f>(O234-P234)/O234</f>
        <v>8.16144980093432E-2</v>
      </c>
      <c r="Z234" s="2">
        <f>P234/M234</f>
        <v>1.8807191494445108</v>
      </c>
    </row>
    <row r="235" spans="1:26" x14ac:dyDescent="0.45">
      <c r="A235" t="s">
        <v>96</v>
      </c>
      <c r="B235" t="s">
        <v>97</v>
      </c>
      <c r="C235" t="s">
        <v>98</v>
      </c>
      <c r="D235" t="s">
        <v>60</v>
      </c>
      <c r="E235" t="s">
        <v>30</v>
      </c>
      <c r="F235">
        <v>420</v>
      </c>
      <c r="G235">
        <v>251698</v>
      </c>
      <c r="H235" s="1">
        <v>0.10299999999999999</v>
      </c>
      <c r="I235">
        <v>1256</v>
      </c>
      <c r="J235">
        <v>41022</v>
      </c>
      <c r="K235" s="10">
        <v>0.41099999999999998</v>
      </c>
      <c r="L235">
        <v>19</v>
      </c>
      <c r="M235">
        <v>97672</v>
      </c>
      <c r="O235">
        <v>237686</v>
      </c>
      <c r="P235">
        <v>214674</v>
      </c>
      <c r="Q235" s="1">
        <v>0.2</v>
      </c>
      <c r="R235" s="1">
        <v>0.2</v>
      </c>
      <c r="S235" s="1">
        <v>0.39800000000000002</v>
      </c>
      <c r="T235" s="1">
        <v>0.32600000000000001</v>
      </c>
      <c r="U235">
        <v>13102</v>
      </c>
      <c r="V235" s="1">
        <v>0.129</v>
      </c>
      <c r="W235">
        <v>3606</v>
      </c>
      <c r="X235" s="1">
        <v>0.28199999999999997</v>
      </c>
      <c r="Y235" s="1">
        <f>(O235-P235)/O235</f>
        <v>9.6816808730846582E-2</v>
      </c>
      <c r="Z235" s="2">
        <f>P235/M235</f>
        <v>2.1979072815136376</v>
      </c>
    </row>
    <row r="236" spans="1:26" x14ac:dyDescent="0.45">
      <c r="A236" t="s">
        <v>247</v>
      </c>
      <c r="B236" t="s">
        <v>97</v>
      </c>
      <c r="C236" t="s">
        <v>244</v>
      </c>
      <c r="D236" t="s">
        <v>34</v>
      </c>
      <c r="E236" t="s">
        <v>35</v>
      </c>
      <c r="F236">
        <v>420</v>
      </c>
      <c r="G236">
        <v>255733</v>
      </c>
      <c r="H236" s="1">
        <v>0.10100000000000001</v>
      </c>
      <c r="I236">
        <v>1294</v>
      </c>
      <c r="J236">
        <v>41919</v>
      </c>
      <c r="K236" s="10">
        <v>0.4</v>
      </c>
      <c r="L236">
        <v>19</v>
      </c>
      <c r="M236">
        <v>99807</v>
      </c>
      <c r="O236">
        <v>249535</v>
      </c>
      <c r="P236">
        <v>228162</v>
      </c>
      <c r="Q236" s="1">
        <v>0.21</v>
      </c>
      <c r="R236" s="1">
        <v>0.2</v>
      </c>
      <c r="S236" s="1">
        <v>0.40300000000000002</v>
      </c>
      <c r="T236" s="1">
        <v>0.34</v>
      </c>
      <c r="U236">
        <v>10544</v>
      </c>
      <c r="V236" s="1">
        <v>0.10100000000000001</v>
      </c>
      <c r="W236">
        <v>4038</v>
      </c>
      <c r="X236" s="1">
        <v>0.19</v>
      </c>
      <c r="Y236" s="1">
        <f>(O236-P236)/O236</f>
        <v>8.5651311439277053E-2</v>
      </c>
      <c r="Z236" s="2">
        <f>P236/M236</f>
        <v>2.2860320418407527</v>
      </c>
    </row>
    <row r="237" spans="1:26" x14ac:dyDescent="0.45">
      <c r="A237" t="s">
        <v>375</v>
      </c>
      <c r="B237" t="s">
        <v>376</v>
      </c>
      <c r="C237" t="s">
        <v>366</v>
      </c>
      <c r="D237" t="s">
        <v>29</v>
      </c>
      <c r="E237" t="s">
        <v>30</v>
      </c>
      <c r="F237">
        <v>285</v>
      </c>
      <c r="G237">
        <v>250807</v>
      </c>
      <c r="H237" s="1">
        <v>4.3999999999999997E-2</v>
      </c>
      <c r="I237">
        <v>992</v>
      </c>
      <c r="J237">
        <v>32482</v>
      </c>
      <c r="K237" s="10">
        <v>0.46400000000000002</v>
      </c>
      <c r="L237">
        <v>16</v>
      </c>
      <c r="M237">
        <v>113972</v>
      </c>
      <c r="O237">
        <v>245737</v>
      </c>
      <c r="P237">
        <v>225489</v>
      </c>
      <c r="Q237" s="1">
        <v>0.20100000000000001</v>
      </c>
      <c r="R237" s="1">
        <v>0.2</v>
      </c>
      <c r="S237" s="1">
        <v>0.40100000000000002</v>
      </c>
      <c r="T237" s="1">
        <v>0.34200000000000003</v>
      </c>
      <c r="U237">
        <v>11516</v>
      </c>
      <c r="V237" s="1">
        <v>0.156</v>
      </c>
      <c r="W237">
        <v>4100</v>
      </c>
      <c r="X237" s="1">
        <v>0</v>
      </c>
      <c r="Y237" s="1">
        <f>(O237-P237)/O237</f>
        <v>8.2397034227649879E-2</v>
      </c>
      <c r="Z237" s="2">
        <f>P237/M237</f>
        <v>1.9784596216614607</v>
      </c>
    </row>
    <row r="238" spans="1:26" x14ac:dyDescent="0.45">
      <c r="A238" t="s">
        <v>131</v>
      </c>
      <c r="B238" t="s">
        <v>132</v>
      </c>
      <c r="C238" t="s">
        <v>129</v>
      </c>
      <c r="D238" t="s">
        <v>29</v>
      </c>
      <c r="E238" t="s">
        <v>30</v>
      </c>
      <c r="F238">
        <v>965</v>
      </c>
      <c r="G238">
        <v>229756</v>
      </c>
      <c r="H238" s="1">
        <v>8.900000000000001E-2</v>
      </c>
      <c r="I238">
        <v>1392</v>
      </c>
      <c r="J238">
        <v>94962</v>
      </c>
      <c r="K238" s="10">
        <v>0.435</v>
      </c>
      <c r="L238">
        <v>18</v>
      </c>
      <c r="M238">
        <v>98406</v>
      </c>
      <c r="O238">
        <v>226156</v>
      </c>
      <c r="P238">
        <v>204806</v>
      </c>
      <c r="Q238" s="1">
        <v>0.20100000000000001</v>
      </c>
      <c r="R238" s="1">
        <v>0.2</v>
      </c>
      <c r="S238" s="1">
        <v>0.39500000000000002</v>
      </c>
      <c r="T238" s="1">
        <v>0.32500000000000001</v>
      </c>
      <c r="U238">
        <v>16691</v>
      </c>
      <c r="V238" s="1">
        <v>6.7000000000000004E-2</v>
      </c>
      <c r="W238">
        <v>3091</v>
      </c>
      <c r="X238" s="1">
        <v>0.38100000000000001</v>
      </c>
      <c r="Y238" s="1">
        <f>(O238-P238)/O238</f>
        <v>9.4403862820354095E-2</v>
      </c>
      <c r="Z238" s="2">
        <f>P238/M238</f>
        <v>2.0812348840517854</v>
      </c>
    </row>
    <row r="239" spans="1:26" x14ac:dyDescent="0.45">
      <c r="A239" t="s">
        <v>275</v>
      </c>
      <c r="B239" t="s">
        <v>276</v>
      </c>
      <c r="C239" t="s">
        <v>272</v>
      </c>
      <c r="D239" t="s">
        <v>29</v>
      </c>
      <c r="E239" t="s">
        <v>30</v>
      </c>
      <c r="F239">
        <v>513</v>
      </c>
      <c r="G239">
        <v>255185</v>
      </c>
      <c r="H239" s="1">
        <v>7.4999999999999997E-2</v>
      </c>
      <c r="I239">
        <v>1071</v>
      </c>
      <c r="J239">
        <v>57495</v>
      </c>
      <c r="K239" s="10">
        <v>0.43200000000000011</v>
      </c>
      <c r="L239" s="7">
        <v>28</v>
      </c>
      <c r="M239">
        <v>112076</v>
      </c>
      <c r="O239">
        <v>259162</v>
      </c>
      <c r="P239">
        <v>238156</v>
      </c>
      <c r="Q239" s="1">
        <v>0.2</v>
      </c>
      <c r="R239" s="1">
        <v>0.2</v>
      </c>
      <c r="S239" s="1">
        <v>0.38900000000000001</v>
      </c>
      <c r="T239" s="1">
        <v>0.32700000000000001</v>
      </c>
      <c r="U239">
        <v>13609</v>
      </c>
      <c r="V239" s="1">
        <v>9.5000000000000001E-2</v>
      </c>
      <c r="W239">
        <v>3493</v>
      </c>
      <c r="X239" s="1">
        <v>0.127</v>
      </c>
      <c r="Y239" s="1">
        <f>(O239-P239)/O239</f>
        <v>8.1053549517290338E-2</v>
      </c>
      <c r="Z239" s="2">
        <f>P239/M239</f>
        <v>2.1249509261572506</v>
      </c>
    </row>
    <row r="240" spans="1:26" x14ac:dyDescent="0.45">
      <c r="A240" t="s">
        <v>70</v>
      </c>
      <c r="B240" t="s">
        <v>71</v>
      </c>
      <c r="C240" t="s">
        <v>69</v>
      </c>
      <c r="D240" t="s">
        <v>44</v>
      </c>
      <c r="E240" t="s">
        <v>30</v>
      </c>
      <c r="F240">
        <v>336</v>
      </c>
      <c r="G240">
        <v>219997</v>
      </c>
      <c r="H240" s="1">
        <v>0.10100000000000001</v>
      </c>
      <c r="I240">
        <v>2156</v>
      </c>
      <c r="J240">
        <v>32525</v>
      </c>
      <c r="K240" s="10">
        <v>0.41899999999999998</v>
      </c>
      <c r="L240">
        <v>18</v>
      </c>
      <c r="M240">
        <v>96802</v>
      </c>
      <c r="O240">
        <v>231140</v>
      </c>
      <c r="P240">
        <v>206805</v>
      </c>
      <c r="Q240" s="1">
        <v>0.2</v>
      </c>
      <c r="R240" s="1">
        <v>0.2</v>
      </c>
      <c r="S240" s="1">
        <v>0.38900000000000001</v>
      </c>
      <c r="T240" s="1">
        <v>0.309</v>
      </c>
      <c r="U240">
        <v>10469</v>
      </c>
      <c r="V240" s="1">
        <v>0.13500000000000001</v>
      </c>
      <c r="W240">
        <v>3012</v>
      </c>
      <c r="X240" s="1">
        <v>0.49399999999999999</v>
      </c>
      <c r="Y240" s="1">
        <f>(O240-P240)/O240</f>
        <v>0.10528251276282773</v>
      </c>
      <c r="Z240" s="2">
        <f>P240/M240</f>
        <v>2.1363711493564184</v>
      </c>
    </row>
    <row r="241" spans="1:26" x14ac:dyDescent="0.45">
      <c r="A241" t="s">
        <v>70</v>
      </c>
      <c r="B241" t="s">
        <v>71</v>
      </c>
      <c r="C241" t="s">
        <v>69</v>
      </c>
      <c r="D241" t="s">
        <v>44</v>
      </c>
      <c r="E241" t="s">
        <v>35</v>
      </c>
      <c r="F241">
        <v>336</v>
      </c>
      <c r="G241">
        <v>219997</v>
      </c>
      <c r="H241" s="1">
        <v>0.106</v>
      </c>
      <c r="I241">
        <v>2156</v>
      </c>
      <c r="J241">
        <v>32525</v>
      </c>
      <c r="K241" s="10">
        <v>0.439</v>
      </c>
      <c r="L241">
        <v>18</v>
      </c>
      <c r="M241">
        <v>96802</v>
      </c>
      <c r="O241">
        <v>220294</v>
      </c>
      <c r="P241">
        <v>217565</v>
      </c>
      <c r="Q241" s="1">
        <v>0.2</v>
      </c>
      <c r="R241" s="1">
        <v>0.2</v>
      </c>
      <c r="S241" s="1">
        <v>0.35499999999999998</v>
      </c>
      <c r="T241" s="1">
        <v>0.34599999999999997</v>
      </c>
      <c r="U241">
        <v>9337</v>
      </c>
      <c r="V241" s="1">
        <v>0.128</v>
      </c>
      <c r="W241">
        <v>3012</v>
      </c>
      <c r="X241" s="1">
        <v>0.49399999999999999</v>
      </c>
      <c r="Y241" s="1">
        <f>(O241-P241)/O241</f>
        <v>1.2387990594387501E-2</v>
      </c>
      <c r="Z241" s="2">
        <f>P241/M241</f>
        <v>2.2475258775645131</v>
      </c>
    </row>
    <row r="242" spans="1:26" x14ac:dyDescent="0.45">
      <c r="A242" t="s">
        <v>70</v>
      </c>
      <c r="B242" t="s">
        <v>71</v>
      </c>
      <c r="C242" t="s">
        <v>69</v>
      </c>
      <c r="D242" t="s">
        <v>44</v>
      </c>
      <c r="E242" t="s">
        <v>30</v>
      </c>
      <c r="F242">
        <v>336</v>
      </c>
      <c r="G242">
        <v>219997</v>
      </c>
      <c r="H242">
        <v>0.106</v>
      </c>
      <c r="I242">
        <v>2156</v>
      </c>
      <c r="J242">
        <v>32525</v>
      </c>
      <c r="K242" s="10">
        <v>0.41899999999999998</v>
      </c>
      <c r="L242">
        <v>18</v>
      </c>
      <c r="M242">
        <v>96802</v>
      </c>
      <c r="O242">
        <v>231140</v>
      </c>
      <c r="P242">
        <v>206805</v>
      </c>
      <c r="Q242">
        <v>0.2</v>
      </c>
      <c r="R242">
        <v>0.2</v>
      </c>
      <c r="S242">
        <v>0.38900000000000001</v>
      </c>
      <c r="T242">
        <v>0.309</v>
      </c>
      <c r="U242">
        <v>10469</v>
      </c>
      <c r="V242">
        <v>0.13500000000000001</v>
      </c>
      <c r="W242">
        <v>3012</v>
      </c>
      <c r="X242">
        <v>0.49399999999999999</v>
      </c>
      <c r="Y242" s="1">
        <f>(O242-P242)/O242</f>
        <v>0.10528251276282773</v>
      </c>
      <c r="Z242" s="2">
        <f>P242/M242</f>
        <v>2.1363711493564184</v>
      </c>
    </row>
    <row r="243" spans="1:26" x14ac:dyDescent="0.45">
      <c r="A243" t="s">
        <v>360</v>
      </c>
      <c r="B243" t="s">
        <v>361</v>
      </c>
      <c r="C243" t="s">
        <v>352</v>
      </c>
      <c r="D243" t="s">
        <v>29</v>
      </c>
      <c r="E243" t="s">
        <v>30</v>
      </c>
      <c r="F243">
        <v>213</v>
      </c>
      <c r="G243">
        <v>257981</v>
      </c>
      <c r="H243" s="1">
        <v>7.6999999999999999E-2</v>
      </c>
      <c r="I243">
        <v>2114</v>
      </c>
      <c r="J243">
        <v>24039</v>
      </c>
      <c r="K243" s="10">
        <v>0.43799999999999989</v>
      </c>
      <c r="L243">
        <v>16</v>
      </c>
      <c r="M243">
        <v>112860</v>
      </c>
      <c r="O243">
        <v>257543</v>
      </c>
      <c r="P243">
        <v>237036</v>
      </c>
      <c r="Q243" s="1">
        <v>0.20200000000000001</v>
      </c>
      <c r="R243" s="1">
        <v>0.2</v>
      </c>
      <c r="S243" s="1">
        <v>0.38</v>
      </c>
      <c r="T243" s="1">
        <v>0.32</v>
      </c>
      <c r="U243">
        <v>6586</v>
      </c>
      <c r="V243" s="1">
        <v>0.115</v>
      </c>
      <c r="W243">
        <v>3738</v>
      </c>
      <c r="X243" s="1">
        <v>0.3</v>
      </c>
      <c r="Y243" s="1">
        <f>(O243-P243)/O243</f>
        <v>7.9625538259630424E-2</v>
      </c>
      <c r="Z243" s="2">
        <f>P243/M243</f>
        <v>2.1002658160552898</v>
      </c>
    </row>
    <row r="244" spans="1:26" x14ac:dyDescent="0.45">
      <c r="A244" t="s">
        <v>88</v>
      </c>
      <c r="B244" t="s">
        <v>89</v>
      </c>
      <c r="C244" t="s">
        <v>85</v>
      </c>
      <c r="D244" t="s">
        <v>60</v>
      </c>
      <c r="E244" t="s">
        <v>30</v>
      </c>
      <c r="F244">
        <v>672</v>
      </c>
      <c r="G244">
        <v>306310</v>
      </c>
      <c r="H244" s="1">
        <v>0.11600000000000001</v>
      </c>
      <c r="I244">
        <v>3442</v>
      </c>
      <c r="J244">
        <v>67166</v>
      </c>
      <c r="K244" s="10">
        <v>0.36399999999999999</v>
      </c>
      <c r="L244">
        <v>22</v>
      </c>
      <c r="M244">
        <v>99949</v>
      </c>
      <c r="O244">
        <v>254753</v>
      </c>
      <c r="P244">
        <v>254753</v>
      </c>
      <c r="Q244" s="1">
        <v>0.20300000000000001</v>
      </c>
      <c r="R244" s="1">
        <v>0.2</v>
      </c>
      <c r="S244" s="1">
        <v>0.41399999999999998</v>
      </c>
      <c r="T244" s="1">
        <v>0.36199999999999999</v>
      </c>
      <c r="U244">
        <v>19820</v>
      </c>
      <c r="V244" s="1">
        <v>0.106</v>
      </c>
      <c r="W244">
        <v>5177</v>
      </c>
      <c r="X244" s="1">
        <v>0.01</v>
      </c>
      <c r="Y244" s="1">
        <f>(O244-P244)/O244</f>
        <v>0</v>
      </c>
      <c r="Z244" s="2">
        <f>P244/M244</f>
        <v>2.5488299032506578</v>
      </c>
    </row>
    <row r="245" spans="1:26" x14ac:dyDescent="0.45">
      <c r="A245" t="s">
        <v>88</v>
      </c>
      <c r="B245" t="s">
        <v>89</v>
      </c>
      <c r="C245" t="s">
        <v>85</v>
      </c>
      <c r="D245" t="s">
        <v>60</v>
      </c>
      <c r="E245" t="s">
        <v>30</v>
      </c>
      <c r="F245">
        <v>672</v>
      </c>
      <c r="G245">
        <v>306310</v>
      </c>
      <c r="H245" s="1">
        <v>0.115</v>
      </c>
      <c r="I245">
        <v>3442</v>
      </c>
      <c r="J245">
        <v>68324</v>
      </c>
      <c r="K245" s="10">
        <v>0.36699999999999999</v>
      </c>
      <c r="L245">
        <v>22</v>
      </c>
      <c r="M245">
        <v>101673</v>
      </c>
      <c r="O245">
        <v>277183</v>
      </c>
      <c r="P245" s="7">
        <v>306310</v>
      </c>
      <c r="Q245" s="1">
        <v>0.19700000000000001</v>
      </c>
      <c r="R245" s="1">
        <v>0.2</v>
      </c>
      <c r="S245" s="1">
        <v>0.40899999999999997</v>
      </c>
      <c r="T245" s="1">
        <v>0.35599999999999998</v>
      </c>
      <c r="U245">
        <v>18572</v>
      </c>
      <c r="V245" s="1">
        <v>9.9000000000000005E-2</v>
      </c>
      <c r="W245">
        <v>5177</v>
      </c>
      <c r="X245" s="1">
        <v>0.01</v>
      </c>
      <c r="Y245" s="1">
        <f>(O245-P245)/O245</f>
        <v>-0.10508220201094584</v>
      </c>
      <c r="Z245" s="2">
        <f>P245/M245</f>
        <v>3.0126975696595948</v>
      </c>
    </row>
    <row r="246" spans="1:26" x14ac:dyDescent="0.45">
      <c r="A246" t="s">
        <v>81</v>
      </c>
      <c r="B246" t="s">
        <v>82</v>
      </c>
      <c r="C246" t="s">
        <v>78</v>
      </c>
      <c r="D246" t="s">
        <v>34</v>
      </c>
      <c r="E246" t="s">
        <v>83</v>
      </c>
      <c r="F246">
        <v>760</v>
      </c>
      <c r="G246">
        <v>192080</v>
      </c>
      <c r="H246" s="1">
        <v>0.06</v>
      </c>
      <c r="I246">
        <v>760</v>
      </c>
      <c r="J246">
        <v>67180</v>
      </c>
      <c r="K246" s="10">
        <v>0.433</v>
      </c>
      <c r="L246">
        <v>16</v>
      </c>
      <c r="M246">
        <v>88395</v>
      </c>
      <c r="O246">
        <v>203934</v>
      </c>
      <c r="P246">
        <v>182017</v>
      </c>
      <c r="Q246" s="5">
        <v>0.26100000000000001</v>
      </c>
      <c r="R246" s="1">
        <v>0.2</v>
      </c>
      <c r="S246" s="1">
        <v>0.40600000000000003</v>
      </c>
      <c r="T246" s="1">
        <v>0.36699999999999999</v>
      </c>
      <c r="U246">
        <v>17684</v>
      </c>
      <c r="V246" s="1">
        <v>0.113</v>
      </c>
      <c r="W246">
        <v>2282</v>
      </c>
      <c r="X246" s="1">
        <v>0.75</v>
      </c>
      <c r="Y246" s="1">
        <f>(O246-P246)/O246</f>
        <v>0.1074710445536301</v>
      </c>
      <c r="Z246" s="2">
        <f>P246/M246</f>
        <v>2.0591323038633407</v>
      </c>
    </row>
    <row r="247" spans="1:26" x14ac:dyDescent="0.45">
      <c r="A247" t="s">
        <v>81</v>
      </c>
      <c r="B247" t="s">
        <v>82</v>
      </c>
      <c r="C247" t="s">
        <v>78</v>
      </c>
      <c r="D247" t="s">
        <v>34</v>
      </c>
      <c r="E247" t="s">
        <v>35</v>
      </c>
      <c r="F247">
        <v>760</v>
      </c>
      <c r="G247">
        <v>192080</v>
      </c>
      <c r="H247" s="1">
        <v>0.02</v>
      </c>
      <c r="I247">
        <v>242</v>
      </c>
      <c r="J247">
        <v>67171</v>
      </c>
      <c r="K247" s="10">
        <v>0.45400000000000001</v>
      </c>
      <c r="L247">
        <v>16</v>
      </c>
      <c r="M247">
        <v>88383</v>
      </c>
      <c r="O247">
        <v>194737</v>
      </c>
      <c r="P247">
        <v>173588</v>
      </c>
      <c r="Q247" s="1">
        <v>-7.4999999999999997E-2</v>
      </c>
      <c r="R247" s="1">
        <v>0.2</v>
      </c>
      <c r="S247" s="1">
        <v>0.41599999999999998</v>
      </c>
      <c r="T247" s="1">
        <v>0.376</v>
      </c>
      <c r="U247">
        <v>28911</v>
      </c>
      <c r="V247" s="1">
        <v>0.19400000000000001</v>
      </c>
      <c r="W247">
        <v>2282</v>
      </c>
      <c r="X247" s="1">
        <v>0.75</v>
      </c>
      <c r="Y247" s="1">
        <f>(O247-P247)/O247</f>
        <v>0.10860288491657979</v>
      </c>
      <c r="Z247" s="2">
        <f>P247/M247</f>
        <v>1.9640428589208332</v>
      </c>
    </row>
    <row r="248" spans="1:26" x14ac:dyDescent="0.45">
      <c r="A248" t="s">
        <v>335</v>
      </c>
      <c r="B248" t="s">
        <v>336</v>
      </c>
      <c r="C248" t="s">
        <v>337</v>
      </c>
      <c r="D248" t="s">
        <v>34</v>
      </c>
      <c r="E248" t="s">
        <v>30</v>
      </c>
      <c r="F248">
        <v>476</v>
      </c>
      <c r="G248">
        <v>204705</v>
      </c>
      <c r="H248" s="1">
        <v>3.5999999999999997E-2</v>
      </c>
      <c r="I248">
        <v>622</v>
      </c>
      <c r="J248">
        <v>47382</v>
      </c>
      <c r="K248" s="10">
        <v>0.47799999999999998</v>
      </c>
      <c r="L248">
        <v>15</v>
      </c>
      <c r="M248">
        <v>99541</v>
      </c>
      <c r="O248">
        <v>208185</v>
      </c>
      <c r="P248">
        <v>187323</v>
      </c>
      <c r="Q248" s="1">
        <v>0.221</v>
      </c>
      <c r="R248" s="1">
        <v>0.2</v>
      </c>
      <c r="S248" s="1">
        <v>0.40500000000000003</v>
      </c>
      <c r="T248" s="1">
        <v>0.33300000000000002</v>
      </c>
      <c r="U248">
        <v>12892</v>
      </c>
      <c r="V248" s="1">
        <v>0.13</v>
      </c>
      <c r="W248">
        <v>2546</v>
      </c>
      <c r="X248" s="1">
        <v>0.66599999999999993</v>
      </c>
      <c r="Y248" s="1">
        <f>(O248-P248)/O248</f>
        <v>0.10020894877152532</v>
      </c>
      <c r="Z248" s="2">
        <f>P248/M248</f>
        <v>1.8818677730784299</v>
      </c>
    </row>
    <row r="249" spans="1:26" x14ac:dyDescent="0.45">
      <c r="A249" t="s">
        <v>335</v>
      </c>
      <c r="B249" t="s">
        <v>336</v>
      </c>
      <c r="C249" t="s">
        <v>337</v>
      </c>
      <c r="D249" t="s">
        <v>34</v>
      </c>
      <c r="E249" t="s">
        <v>35</v>
      </c>
      <c r="F249">
        <v>476</v>
      </c>
      <c r="G249">
        <v>204705</v>
      </c>
      <c r="H249" s="1">
        <v>2.1999999999999999E-2</v>
      </c>
      <c r="I249">
        <v>359</v>
      </c>
      <c r="J249">
        <v>47382</v>
      </c>
      <c r="K249" s="10">
        <v>0.49299999999999999</v>
      </c>
      <c r="L249">
        <v>15</v>
      </c>
      <c r="M249">
        <v>99541</v>
      </c>
      <c r="O249">
        <v>201765</v>
      </c>
      <c r="P249">
        <v>181256</v>
      </c>
      <c r="Q249" s="1">
        <v>-5.8000000000000003E-2</v>
      </c>
      <c r="R249" s="1">
        <v>0.2</v>
      </c>
      <c r="S249" s="1">
        <v>0.38800000000000001</v>
      </c>
      <c r="T249" s="1">
        <v>0.314</v>
      </c>
      <c r="U249">
        <v>17295</v>
      </c>
      <c r="V249" s="1">
        <v>0.17899999999999999</v>
      </c>
      <c r="W249">
        <v>2546</v>
      </c>
      <c r="X249" s="1">
        <v>0.66599999999999993</v>
      </c>
      <c r="Y249" s="1">
        <f>(O249-P249)/O249</f>
        <v>0.10164795678140411</v>
      </c>
      <c r="Z249" s="2">
        <f>P249/M249</f>
        <v>1.820918013682804</v>
      </c>
    </row>
  </sheetData>
  <autoFilter ref="A1:Z24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6472-A970-41A5-8917-F008B48D481A}">
  <dimension ref="A1:AH173"/>
  <sheetViews>
    <sheetView topLeftCell="Y1" workbookViewId="0">
      <selection activeCell="AG2" sqref="AG2:AG171"/>
    </sheetView>
  </sheetViews>
  <sheetFormatPr defaultRowHeight="14.25" x14ac:dyDescent="0.45"/>
  <cols>
    <col min="1" max="1" width="14.46484375" customWidth="1"/>
    <col min="2" max="2" width="24.796875" customWidth="1"/>
    <col min="3" max="3" width="19.6640625" bestFit="1" customWidth="1"/>
    <col min="4" max="4" width="40" bestFit="1" customWidth="1"/>
    <col min="5" max="6" width="14" customWidth="1"/>
    <col min="7" max="7" width="16" customWidth="1"/>
    <col min="8" max="8" width="20" customWidth="1"/>
    <col min="9" max="9" width="14" customWidth="1"/>
    <col min="10" max="10" width="21" customWidth="1"/>
    <col min="11" max="11" width="26" style="10" customWidth="1"/>
    <col min="12" max="13" width="18" customWidth="1"/>
    <col min="14" max="14" width="19" customWidth="1"/>
    <col min="15" max="15" width="20" customWidth="1"/>
    <col min="16" max="16" width="17" customWidth="1"/>
    <col min="17" max="18" width="14" customWidth="1"/>
    <col min="19" max="19" width="28" customWidth="1"/>
    <col min="20" max="20" width="27" customWidth="1"/>
    <col min="21" max="21" width="18" customWidth="1"/>
    <col min="22" max="22" width="19" customWidth="1"/>
    <col min="23" max="25" width="14" customWidth="1"/>
    <col min="26" max="26" width="16.73046875" bestFit="1" customWidth="1"/>
    <col min="27" max="27" width="10.19921875" bestFit="1" customWidth="1"/>
    <col min="31" max="33" width="14.1328125" customWidth="1"/>
  </cols>
  <sheetData>
    <row r="1" spans="1:3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0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455</v>
      </c>
      <c r="AB1" t="s">
        <v>453</v>
      </c>
      <c r="AC1" t="s">
        <v>456</v>
      </c>
      <c r="AD1" t="s">
        <v>454</v>
      </c>
      <c r="AE1" t="s">
        <v>468</v>
      </c>
      <c r="AF1" t="s">
        <v>469</v>
      </c>
      <c r="AG1" t="s">
        <v>470</v>
      </c>
    </row>
    <row r="2" spans="1:34" x14ac:dyDescent="0.45">
      <c r="A2" t="s">
        <v>26</v>
      </c>
      <c r="B2" t="s">
        <v>27</v>
      </c>
      <c r="C2" s="13">
        <v>45670</v>
      </c>
      <c r="D2" t="s">
        <v>29</v>
      </c>
      <c r="E2" t="s">
        <v>30</v>
      </c>
      <c r="F2">
        <v>1143</v>
      </c>
      <c r="G2">
        <v>292021</v>
      </c>
      <c r="H2" s="1">
        <v>0.13800000000000001</v>
      </c>
      <c r="I2">
        <v>2293</v>
      </c>
      <c r="J2">
        <v>107842</v>
      </c>
      <c r="K2" s="10">
        <v>0.34699999999999998</v>
      </c>
      <c r="L2">
        <v>19</v>
      </c>
      <c r="M2">
        <v>94350</v>
      </c>
      <c r="O2">
        <v>271870</v>
      </c>
      <c r="P2">
        <v>244467</v>
      </c>
      <c r="Q2" s="1">
        <v>0.20599999999999999</v>
      </c>
      <c r="R2" s="1">
        <v>0.2</v>
      </c>
      <c r="S2" s="1">
        <v>0.42799999999999999</v>
      </c>
      <c r="T2" s="1">
        <v>0.35599999999999998</v>
      </c>
      <c r="U2">
        <v>24694</v>
      </c>
      <c r="V2" s="1">
        <v>7.2000000000000008E-2</v>
      </c>
      <c r="W2">
        <v>4682</v>
      </c>
      <c r="X2" s="1">
        <v>0</v>
      </c>
      <c r="Y2" s="1">
        <f>(O2-P2)/O2</f>
        <v>0.10079449737006657</v>
      </c>
      <c r="Z2" s="2">
        <f>P2/M2</f>
        <v>2.5910651828298885</v>
      </c>
      <c r="AA2" s="13">
        <f>DATE(YEAR(C2),MONTH(C2),1)</f>
        <v>45658</v>
      </c>
      <c r="AB2" t="str">
        <f>IF(X2&gt;=0.5,"Faixa 1",IF(X2=0,"Faixa 3","Faixa 2"))</f>
        <v>Faixa 3</v>
      </c>
      <c r="AC2">
        <v>1</v>
      </c>
      <c r="AD2" t="str">
        <f>YEAR(AA2)&amp;"-"&amp;IF(MONTH(AA2)&lt;4,1,IF(MONTH(AA2)&lt;7,2,IF(MONTH(AA2)&lt;10,3,4)))&amp;"T"</f>
        <v>2025-1T</v>
      </c>
      <c r="AE2" s="1" t="str">
        <f>IF((Q2-R2)&lt;0.005,"Até +0,5%",IF((Q2-R2)&lt;0.01,"Ate +1%","Acima de +1%"))</f>
        <v>Ate +1%</v>
      </c>
      <c r="AF2" t="str">
        <f>IF($T2&lt;=0.32,"Ate 32%",IF($T2&lt;=0.34,"Ate 34%","Acima de 34%"))</f>
        <v>Acima de 34%</v>
      </c>
      <c r="AG2" t="str">
        <f>IF($S2&lt;=0.39,"Ate 39%",IF($S2&lt;=0.41,"Ate 41%","Acima de 41%"))</f>
        <v>Acima de 41%</v>
      </c>
      <c r="AH2" s="1"/>
    </row>
    <row r="3" spans="1:34" x14ac:dyDescent="0.45">
      <c r="A3" t="s">
        <v>31</v>
      </c>
      <c r="B3" t="s">
        <v>32</v>
      </c>
      <c r="C3" s="13">
        <v>45677</v>
      </c>
      <c r="D3" t="s">
        <v>34</v>
      </c>
      <c r="E3" t="s">
        <v>30</v>
      </c>
      <c r="F3">
        <v>388</v>
      </c>
      <c r="G3">
        <v>203835</v>
      </c>
      <c r="H3" s="1">
        <v>3.3000000000000002E-2</v>
      </c>
      <c r="I3">
        <v>398</v>
      </c>
      <c r="J3">
        <v>40555</v>
      </c>
      <c r="K3" s="10">
        <v>0.48699999999999999</v>
      </c>
      <c r="L3">
        <v>18</v>
      </c>
      <c r="M3">
        <v>104524</v>
      </c>
      <c r="O3">
        <v>214464</v>
      </c>
      <c r="P3">
        <v>190902</v>
      </c>
      <c r="Q3" s="1">
        <v>0.20300000000000001</v>
      </c>
      <c r="R3" s="1">
        <v>0.2</v>
      </c>
      <c r="S3" s="1">
        <v>0.40100000000000002</v>
      </c>
      <c r="T3" s="5">
        <v>0.245</v>
      </c>
      <c r="U3">
        <v>16047</v>
      </c>
      <c r="V3" s="1">
        <v>0.12</v>
      </c>
      <c r="W3">
        <v>2521</v>
      </c>
      <c r="X3" s="1">
        <v>0.5</v>
      </c>
      <c r="Y3" s="1">
        <f>(O3-P3)/O3</f>
        <v>0.10986459265890779</v>
      </c>
      <c r="Z3" s="2">
        <f>P3/M3</f>
        <v>1.8263939382342811</v>
      </c>
      <c r="AA3" s="13">
        <f t="shared" ref="AA3:AA66" si="0">DATE(YEAR(C3),MONTH(C3),1)</f>
        <v>45658</v>
      </c>
      <c r="AB3" t="str">
        <f>IF(X3&gt;=0.5,"Faixa 1",IF(X3=0,"Faixa 3","Faixa 2"))</f>
        <v>Faixa 1</v>
      </c>
      <c r="AC3">
        <v>1</v>
      </c>
      <c r="AD3" t="str">
        <f t="shared" ref="AD3:AD66" si="1">YEAR(AA3)&amp;"-"&amp;IF(MONTH(AA3)&lt;4,1,IF(MONTH(AA3)&lt;7,2,IF(MONTH(AA3)&lt;10,3,4)))&amp;"T"</f>
        <v>2025-1T</v>
      </c>
      <c r="AE3" s="1" t="str">
        <f t="shared" ref="AE3:AE66" si="2">IF((Q3-R3)&lt;0.005,"Até +0,5%",IF((Q3-R3)&lt;0.01,"Ate +1%","Acima de +1%"))</f>
        <v>Até +0,5%</v>
      </c>
      <c r="AF3" t="str">
        <f t="shared" ref="AF3:AF66" si="3">IF($T3&lt;=0.32,"Ate 32%",IF($T3&lt;=0.34,"Ate 34%","Acima de 34%"))</f>
        <v>Ate 32%</v>
      </c>
      <c r="AG3" t="str">
        <f t="shared" ref="AG3:AG66" si="4">IF($S3&lt;=0.39,"Ate 39%",IF($S3&lt;=0.41,"Ate 41%","Acima de 41%"))</f>
        <v>Ate 41%</v>
      </c>
      <c r="AH3" s="1"/>
    </row>
    <row r="4" spans="1:34" x14ac:dyDescent="0.45">
      <c r="A4" t="s">
        <v>36</v>
      </c>
      <c r="B4" t="s">
        <v>37</v>
      </c>
      <c r="C4" s="13">
        <v>45684</v>
      </c>
      <c r="D4" t="s">
        <v>29</v>
      </c>
      <c r="E4" t="s">
        <v>30</v>
      </c>
      <c r="F4">
        <v>464</v>
      </c>
      <c r="G4">
        <v>229763</v>
      </c>
      <c r="H4" s="1">
        <v>8.5000000000000006E-2</v>
      </c>
      <c r="I4">
        <v>937</v>
      </c>
      <c r="J4">
        <v>46844</v>
      </c>
      <c r="K4" s="10">
        <v>0.44600000000000001</v>
      </c>
      <c r="L4">
        <v>19</v>
      </c>
      <c r="M4">
        <v>100957</v>
      </c>
      <c r="O4">
        <v>202427</v>
      </c>
      <c r="P4">
        <v>202427</v>
      </c>
      <c r="Q4" s="1">
        <v>0.20300000000000001</v>
      </c>
      <c r="R4" s="1">
        <v>0.2</v>
      </c>
      <c r="S4" s="1">
        <v>0.379</v>
      </c>
      <c r="T4" s="1">
        <v>0.29699999999999999</v>
      </c>
      <c r="U4">
        <v>10676</v>
      </c>
      <c r="V4" s="1">
        <v>9.6000000000000002E-2</v>
      </c>
      <c r="W4">
        <v>3175</v>
      </c>
      <c r="X4" s="1">
        <v>0.5</v>
      </c>
      <c r="Y4" s="1">
        <f>(O4-P4)/O4</f>
        <v>0</v>
      </c>
      <c r="Z4" s="2">
        <f>P4/M4</f>
        <v>2.0050813712768805</v>
      </c>
      <c r="AA4" s="13">
        <f t="shared" si="0"/>
        <v>45658</v>
      </c>
      <c r="AB4" t="str">
        <f>IF(X4&gt;=0.5,"Faixa 1",IF(X4=0,"Faixa 3","Faixa 2"))</f>
        <v>Faixa 1</v>
      </c>
      <c r="AC4">
        <v>1</v>
      </c>
      <c r="AD4" t="str">
        <f t="shared" si="1"/>
        <v>2025-1T</v>
      </c>
      <c r="AE4" s="1" t="str">
        <f t="shared" si="2"/>
        <v>Até +0,5%</v>
      </c>
      <c r="AF4" t="str">
        <f t="shared" si="3"/>
        <v>Ate 32%</v>
      </c>
      <c r="AG4" t="str">
        <f t="shared" si="4"/>
        <v>Ate 39%</v>
      </c>
      <c r="AH4" s="1"/>
    </row>
    <row r="5" spans="1:34" x14ac:dyDescent="0.45">
      <c r="A5" t="s">
        <v>39</v>
      </c>
      <c r="B5" t="s">
        <v>40</v>
      </c>
      <c r="C5" s="13">
        <v>45698</v>
      </c>
      <c r="D5" t="s">
        <v>29</v>
      </c>
      <c r="E5" t="s">
        <v>30</v>
      </c>
      <c r="F5">
        <v>712</v>
      </c>
      <c r="G5">
        <v>239775</v>
      </c>
      <c r="H5" s="1">
        <v>9.3000000000000013E-2</v>
      </c>
      <c r="I5">
        <v>1035</v>
      </c>
      <c r="J5">
        <v>69445</v>
      </c>
      <c r="K5" s="10">
        <v>0.435</v>
      </c>
      <c r="L5">
        <v>17</v>
      </c>
      <c r="M5">
        <v>97536</v>
      </c>
      <c r="O5">
        <v>224103</v>
      </c>
      <c r="P5">
        <v>201035</v>
      </c>
      <c r="Q5" s="1">
        <v>0.2</v>
      </c>
      <c r="R5" s="1">
        <v>0.2</v>
      </c>
      <c r="S5" s="1">
        <v>0.38500000000000001</v>
      </c>
      <c r="T5" s="1">
        <v>0.30599999999999999</v>
      </c>
      <c r="U5">
        <v>11267</v>
      </c>
      <c r="V5" s="1">
        <v>6.4000000000000001E-2</v>
      </c>
      <c r="W5">
        <v>3204</v>
      </c>
      <c r="X5" s="1">
        <v>0.38100000000000001</v>
      </c>
      <c r="Y5" s="1">
        <f>(O5-P5)/O5</f>
        <v>0.10293481122519556</v>
      </c>
      <c r="Z5" s="2">
        <f>P5/M5</f>
        <v>2.061136400918635</v>
      </c>
      <c r="AA5" s="13">
        <f t="shared" si="0"/>
        <v>45689</v>
      </c>
      <c r="AB5" t="str">
        <f>IF(X5&gt;=0.5,"Faixa 1",IF(X5=0,"Faixa 3","Faixa 2"))</f>
        <v>Faixa 2</v>
      </c>
      <c r="AC5">
        <v>1</v>
      </c>
      <c r="AD5" t="str">
        <f t="shared" si="1"/>
        <v>2025-1T</v>
      </c>
      <c r="AE5" s="1" t="str">
        <f t="shared" si="2"/>
        <v>Até +0,5%</v>
      </c>
      <c r="AF5" t="str">
        <f t="shared" si="3"/>
        <v>Ate 32%</v>
      </c>
      <c r="AG5" t="str">
        <f t="shared" si="4"/>
        <v>Ate 39%</v>
      </c>
      <c r="AH5" s="1"/>
    </row>
    <row r="6" spans="1:34" x14ac:dyDescent="0.45">
      <c r="A6" t="s">
        <v>42</v>
      </c>
      <c r="B6" t="s">
        <v>43</v>
      </c>
      <c r="C6" s="13">
        <v>45698</v>
      </c>
      <c r="D6" t="s">
        <v>44</v>
      </c>
      <c r="E6" t="s">
        <v>30</v>
      </c>
      <c r="F6">
        <v>768</v>
      </c>
      <c r="G6">
        <v>253188</v>
      </c>
      <c r="H6" s="1">
        <v>0.10199999999999999</v>
      </c>
      <c r="I6">
        <v>3263</v>
      </c>
      <c r="J6">
        <v>74484</v>
      </c>
      <c r="K6" s="10">
        <v>0.40100000000000002</v>
      </c>
      <c r="L6">
        <v>24</v>
      </c>
      <c r="M6">
        <v>96984</v>
      </c>
      <c r="O6">
        <v>217773</v>
      </c>
      <c r="P6">
        <v>217773</v>
      </c>
      <c r="Q6" s="1">
        <v>0.2</v>
      </c>
      <c r="R6" s="1">
        <v>0.2</v>
      </c>
      <c r="S6" s="1">
        <v>0.376</v>
      </c>
      <c r="T6" s="1">
        <v>0.29799999999999999</v>
      </c>
      <c r="U6">
        <v>14761</v>
      </c>
      <c r="V6" s="1">
        <v>7.9000000000000001E-2</v>
      </c>
      <c r="W6">
        <v>3893</v>
      </c>
      <c r="X6" s="1">
        <v>0.15</v>
      </c>
      <c r="Y6" s="1">
        <f>(O6-P6)/O6</f>
        <v>0</v>
      </c>
      <c r="Z6" s="2">
        <f>P6/M6</f>
        <v>2.2454528582034148</v>
      </c>
      <c r="AA6" s="13">
        <f t="shared" si="0"/>
        <v>45689</v>
      </c>
      <c r="AB6" t="str">
        <f>IF(X6&gt;=0.5,"Faixa 1",IF(X6=0,"Faixa 3","Faixa 2"))</f>
        <v>Faixa 2</v>
      </c>
      <c r="AC6">
        <v>1</v>
      </c>
      <c r="AD6" t="str">
        <f t="shared" si="1"/>
        <v>2025-1T</v>
      </c>
      <c r="AE6" s="1" t="str">
        <f t="shared" si="2"/>
        <v>Até +0,5%</v>
      </c>
      <c r="AF6" t="str">
        <f t="shared" si="3"/>
        <v>Ate 32%</v>
      </c>
      <c r="AG6" t="str">
        <f t="shared" si="4"/>
        <v>Ate 39%</v>
      </c>
      <c r="AH6" s="1"/>
    </row>
    <row r="7" spans="1:34" x14ac:dyDescent="0.45">
      <c r="A7" t="s">
        <v>45</v>
      </c>
      <c r="B7" t="s">
        <v>46</v>
      </c>
      <c r="C7" s="13">
        <v>45705</v>
      </c>
      <c r="D7" t="s">
        <v>34</v>
      </c>
      <c r="E7" t="s">
        <v>30</v>
      </c>
      <c r="F7">
        <v>376</v>
      </c>
      <c r="G7">
        <v>197323</v>
      </c>
      <c r="H7" s="1">
        <v>7.6700000000000004E-2</v>
      </c>
      <c r="I7">
        <v>405</v>
      </c>
      <c r="J7">
        <v>34007</v>
      </c>
      <c r="K7" s="10">
        <v>0.435</v>
      </c>
      <c r="L7">
        <v>12</v>
      </c>
      <c r="M7">
        <v>89992</v>
      </c>
      <c r="O7">
        <v>208033</v>
      </c>
      <c r="P7">
        <v>179700</v>
      </c>
      <c r="Q7" s="1">
        <v>0.22600000000000001</v>
      </c>
      <c r="R7" s="1">
        <v>0.2</v>
      </c>
      <c r="S7" s="1">
        <v>0.38300000000000001</v>
      </c>
      <c r="T7" s="1">
        <v>0.32500000000000001</v>
      </c>
      <c r="U7">
        <v>9595</v>
      </c>
      <c r="V7" s="1">
        <v>0.122</v>
      </c>
      <c r="W7">
        <v>2347</v>
      </c>
      <c r="X7" s="1">
        <v>0.75</v>
      </c>
      <c r="Y7" s="1">
        <f>(O7-P7)/O7</f>
        <v>0.13619473833478343</v>
      </c>
      <c r="Z7" s="2">
        <f>P7/M7</f>
        <v>1.9968441639256822</v>
      </c>
      <c r="AA7" s="13">
        <f t="shared" si="0"/>
        <v>45689</v>
      </c>
      <c r="AB7" t="str">
        <f>IF(X7&gt;=0.5,"Faixa 1",IF(X7=0,"Faixa 3","Faixa 2"))</f>
        <v>Faixa 1</v>
      </c>
      <c r="AC7">
        <v>1</v>
      </c>
      <c r="AD7" t="str">
        <f t="shared" si="1"/>
        <v>2025-1T</v>
      </c>
      <c r="AE7" s="1" t="str">
        <f t="shared" si="2"/>
        <v>Acima de +1%</v>
      </c>
      <c r="AF7" t="str">
        <f t="shared" si="3"/>
        <v>Ate 34%</v>
      </c>
      <c r="AG7" t="str">
        <f t="shared" si="4"/>
        <v>Ate 39%</v>
      </c>
      <c r="AH7" s="1"/>
    </row>
    <row r="8" spans="1:34" x14ac:dyDescent="0.45">
      <c r="A8" t="s">
        <v>48</v>
      </c>
      <c r="B8" t="s">
        <v>49</v>
      </c>
      <c r="C8" s="13">
        <v>45705</v>
      </c>
      <c r="D8" t="s">
        <v>44</v>
      </c>
      <c r="E8" t="s">
        <v>30</v>
      </c>
      <c r="F8">
        <v>538</v>
      </c>
      <c r="G8">
        <v>264796</v>
      </c>
      <c r="H8" s="1">
        <v>0.11</v>
      </c>
      <c r="I8">
        <v>1941</v>
      </c>
      <c r="J8">
        <v>50446</v>
      </c>
      <c r="K8" s="10">
        <v>0.36899999999999999</v>
      </c>
      <c r="L8">
        <v>20</v>
      </c>
      <c r="M8">
        <v>93766</v>
      </c>
      <c r="O8">
        <v>254371</v>
      </c>
      <c r="P8">
        <v>236077</v>
      </c>
      <c r="Q8" s="1">
        <v>0.21299999999999999</v>
      </c>
      <c r="R8" s="1">
        <v>0.2</v>
      </c>
      <c r="S8" s="1">
        <v>0.41299999999999998</v>
      </c>
      <c r="T8" s="1">
        <v>0.36199999999999999</v>
      </c>
      <c r="U8">
        <v>12773</v>
      </c>
      <c r="V8" s="1">
        <v>9.5000000000000001E-2</v>
      </c>
      <c r="W8">
        <v>4290</v>
      </c>
      <c r="X8" s="1">
        <v>0</v>
      </c>
      <c r="Y8" s="1">
        <f>(O8-P8)/O8</f>
        <v>7.1918575623793599E-2</v>
      </c>
      <c r="Z8" s="2">
        <f>P8/M8</f>
        <v>2.5177249749376105</v>
      </c>
      <c r="AA8" s="13">
        <f t="shared" si="0"/>
        <v>45689</v>
      </c>
      <c r="AB8" t="str">
        <f>IF(X8&gt;=0.5,"Faixa 1",IF(X8=0,"Faixa 3","Faixa 2"))</f>
        <v>Faixa 3</v>
      </c>
      <c r="AC8">
        <v>1</v>
      </c>
      <c r="AD8" t="str">
        <f t="shared" si="1"/>
        <v>2025-1T</v>
      </c>
      <c r="AE8" s="1" t="str">
        <f t="shared" si="2"/>
        <v>Acima de +1%</v>
      </c>
      <c r="AF8" t="str">
        <f t="shared" si="3"/>
        <v>Acima de 34%</v>
      </c>
      <c r="AG8" t="str">
        <f t="shared" si="4"/>
        <v>Acima de 41%</v>
      </c>
      <c r="AH8" s="1"/>
    </row>
    <row r="9" spans="1:34" x14ac:dyDescent="0.45">
      <c r="A9" t="s">
        <v>50</v>
      </c>
      <c r="B9" t="s">
        <v>51</v>
      </c>
      <c r="C9" s="13">
        <v>45712</v>
      </c>
      <c r="D9" t="s">
        <v>34</v>
      </c>
      <c r="E9" t="s">
        <v>30</v>
      </c>
      <c r="F9">
        <v>286</v>
      </c>
      <c r="G9">
        <v>244714</v>
      </c>
      <c r="H9" s="1">
        <v>0.09</v>
      </c>
      <c r="I9">
        <v>1237</v>
      </c>
      <c r="J9">
        <v>27873</v>
      </c>
      <c r="K9" s="10">
        <v>0.41499999999999998</v>
      </c>
      <c r="L9">
        <v>17</v>
      </c>
      <c r="M9">
        <v>97457</v>
      </c>
      <c r="O9">
        <v>235028</v>
      </c>
      <c r="P9">
        <v>213469</v>
      </c>
      <c r="Q9" s="1">
        <v>0.2</v>
      </c>
      <c r="R9" s="1">
        <v>0.2</v>
      </c>
      <c r="S9" s="1">
        <v>0.40400000000000003</v>
      </c>
      <c r="T9" s="1">
        <v>0.33700000000000002</v>
      </c>
      <c r="U9">
        <v>9498</v>
      </c>
      <c r="V9" s="1">
        <v>0.14199999999999999</v>
      </c>
      <c r="W9">
        <v>3513</v>
      </c>
      <c r="X9" s="1">
        <v>0.20100000000000001</v>
      </c>
      <c r="Y9" s="1">
        <f>(O9-P9)/O9</f>
        <v>9.1729496060043908E-2</v>
      </c>
      <c r="Z9" s="2">
        <f>P9/M9</f>
        <v>2.1903916599115507</v>
      </c>
      <c r="AA9" s="13">
        <f t="shared" si="0"/>
        <v>45689</v>
      </c>
      <c r="AB9" t="str">
        <f>IF(X9&gt;=0.5,"Faixa 1",IF(X9=0,"Faixa 3","Faixa 2"))</f>
        <v>Faixa 2</v>
      </c>
      <c r="AC9">
        <v>1</v>
      </c>
      <c r="AD9" t="str">
        <f t="shared" si="1"/>
        <v>2025-1T</v>
      </c>
      <c r="AE9" s="1" t="str">
        <f t="shared" si="2"/>
        <v>Até +0,5%</v>
      </c>
      <c r="AF9" t="str">
        <f t="shared" si="3"/>
        <v>Ate 34%</v>
      </c>
      <c r="AG9" t="str">
        <f t="shared" si="4"/>
        <v>Ate 41%</v>
      </c>
      <c r="AH9" s="1"/>
    </row>
    <row r="10" spans="1:34" x14ac:dyDescent="0.45">
      <c r="A10" t="s">
        <v>53</v>
      </c>
      <c r="B10" t="s">
        <v>54</v>
      </c>
      <c r="C10" s="13">
        <v>45712</v>
      </c>
      <c r="D10" t="s">
        <v>34</v>
      </c>
      <c r="E10" t="s">
        <v>30</v>
      </c>
      <c r="F10">
        <v>208</v>
      </c>
      <c r="G10">
        <v>184176</v>
      </c>
      <c r="H10" s="1">
        <v>6.8000000000000005E-2</v>
      </c>
      <c r="I10">
        <v>108</v>
      </c>
      <c r="J10">
        <v>18297</v>
      </c>
      <c r="K10" s="10">
        <v>0.44400000000000001</v>
      </c>
      <c r="L10">
        <v>10</v>
      </c>
      <c r="M10">
        <v>87968</v>
      </c>
      <c r="O10">
        <v>204470</v>
      </c>
      <c r="P10">
        <v>182253</v>
      </c>
      <c r="Q10" s="5">
        <v>0.27500000000000002</v>
      </c>
      <c r="R10" s="1">
        <v>0.2</v>
      </c>
      <c r="S10" s="1">
        <v>0.42499999999999999</v>
      </c>
      <c r="T10" s="1">
        <v>0.35099999999999998</v>
      </c>
      <c r="U10">
        <v>3351</v>
      </c>
      <c r="V10" s="1">
        <v>7.8E-2</v>
      </c>
      <c r="W10">
        <v>2019</v>
      </c>
      <c r="X10" s="1">
        <v>0.75</v>
      </c>
      <c r="Y10" s="1">
        <f>(O10-P10)/O10</f>
        <v>0.10865652662982345</v>
      </c>
      <c r="Z10" s="2">
        <f>P10/M10</f>
        <v>2.0718102037104402</v>
      </c>
      <c r="AA10" s="13">
        <f t="shared" si="0"/>
        <v>45689</v>
      </c>
      <c r="AB10" t="str">
        <f>IF(X10&gt;=0.5,"Faixa 1",IF(X10=0,"Faixa 3","Faixa 2"))</f>
        <v>Faixa 1</v>
      </c>
      <c r="AC10">
        <v>1</v>
      </c>
      <c r="AD10" t="str">
        <f t="shared" si="1"/>
        <v>2025-1T</v>
      </c>
      <c r="AE10" s="1" t="str">
        <f t="shared" si="2"/>
        <v>Acima de +1%</v>
      </c>
      <c r="AF10" t="str">
        <f t="shared" si="3"/>
        <v>Acima de 34%</v>
      </c>
      <c r="AG10" t="str">
        <f t="shared" si="4"/>
        <v>Acima de 41%</v>
      </c>
      <c r="AH10" s="1"/>
    </row>
    <row r="11" spans="1:34" x14ac:dyDescent="0.45">
      <c r="A11" t="s">
        <v>55</v>
      </c>
      <c r="B11" t="s">
        <v>56</v>
      </c>
      <c r="C11" s="13">
        <v>45712</v>
      </c>
      <c r="D11" t="s">
        <v>34</v>
      </c>
      <c r="E11" t="s">
        <v>30</v>
      </c>
      <c r="F11">
        <v>316</v>
      </c>
      <c r="G11">
        <v>224993</v>
      </c>
      <c r="H11" s="1">
        <v>0.08</v>
      </c>
      <c r="I11">
        <v>467</v>
      </c>
      <c r="J11">
        <v>29690</v>
      </c>
      <c r="K11" s="10">
        <v>0.39400000000000002</v>
      </c>
      <c r="L11">
        <v>16</v>
      </c>
      <c r="M11">
        <v>93957</v>
      </c>
      <c r="O11">
        <v>238501</v>
      </c>
      <c r="P11">
        <v>211939</v>
      </c>
      <c r="Q11" s="1">
        <v>0.23699999999999999</v>
      </c>
      <c r="R11" s="1">
        <v>0.2</v>
      </c>
      <c r="S11" s="1">
        <v>0.44</v>
      </c>
      <c r="T11" s="1">
        <v>0.36199999999999999</v>
      </c>
      <c r="U11">
        <v>9159</v>
      </c>
      <c r="V11" s="1">
        <v>0.122</v>
      </c>
      <c r="W11">
        <v>3357</v>
      </c>
      <c r="X11" s="1">
        <v>0.18</v>
      </c>
      <c r="Y11" s="1">
        <f>(O11-P11)/O11</f>
        <v>0.11137060221969719</v>
      </c>
      <c r="Z11" s="2">
        <f>P11/M11</f>
        <v>2.255702076481795</v>
      </c>
      <c r="AA11" s="13">
        <f t="shared" si="0"/>
        <v>45689</v>
      </c>
      <c r="AB11" t="str">
        <f>IF(X11&gt;=0.5,"Faixa 1",IF(X11=0,"Faixa 3","Faixa 2"))</f>
        <v>Faixa 2</v>
      </c>
      <c r="AC11">
        <v>1</v>
      </c>
      <c r="AD11" t="str">
        <f t="shared" si="1"/>
        <v>2025-1T</v>
      </c>
      <c r="AE11" s="1" t="str">
        <f t="shared" si="2"/>
        <v>Acima de +1%</v>
      </c>
      <c r="AF11" t="str">
        <f t="shared" si="3"/>
        <v>Acima de 34%</v>
      </c>
      <c r="AG11" t="str">
        <f t="shared" si="4"/>
        <v>Acima de 41%</v>
      </c>
      <c r="AH11" s="1"/>
    </row>
    <row r="12" spans="1:34" x14ac:dyDescent="0.45">
      <c r="A12" t="s">
        <v>57</v>
      </c>
      <c r="B12" t="s">
        <v>58</v>
      </c>
      <c r="C12" s="13">
        <v>45716</v>
      </c>
      <c r="D12" t="s">
        <v>60</v>
      </c>
      <c r="E12" t="s">
        <v>30</v>
      </c>
      <c r="F12">
        <v>946</v>
      </c>
      <c r="G12">
        <v>213717</v>
      </c>
      <c r="H12" s="1">
        <v>2.3E-2</v>
      </c>
      <c r="I12">
        <v>377</v>
      </c>
      <c r="J12">
        <v>92461</v>
      </c>
      <c r="K12" s="10">
        <v>0.46</v>
      </c>
      <c r="L12">
        <v>19</v>
      </c>
      <c r="M12">
        <v>97739</v>
      </c>
      <c r="O12">
        <v>212253</v>
      </c>
      <c r="P12">
        <v>187303</v>
      </c>
      <c r="Q12" s="1">
        <v>0.23</v>
      </c>
      <c r="R12" s="1">
        <v>0.2</v>
      </c>
      <c r="S12" s="1">
        <v>0.439</v>
      </c>
      <c r="T12" s="1">
        <v>0.35599999999999998</v>
      </c>
      <c r="U12">
        <v>15373</v>
      </c>
      <c r="V12" s="1">
        <v>7.0999999999999994E-2</v>
      </c>
      <c r="W12">
        <v>2847</v>
      </c>
      <c r="X12" s="1">
        <v>0.48</v>
      </c>
      <c r="Y12" s="1">
        <f>(O12-P12)/O12</f>
        <v>0.11754839743136729</v>
      </c>
      <c r="Z12" s="2">
        <f>P12/M12</f>
        <v>1.9163588741444051</v>
      </c>
      <c r="AA12" s="13">
        <f t="shared" si="0"/>
        <v>45689</v>
      </c>
      <c r="AB12" t="str">
        <f>IF(X12&gt;=0.5,"Faixa 1",IF(X12=0,"Faixa 3","Faixa 2"))</f>
        <v>Faixa 2</v>
      </c>
      <c r="AC12">
        <v>1</v>
      </c>
      <c r="AD12" t="str">
        <f t="shared" si="1"/>
        <v>2025-1T</v>
      </c>
      <c r="AE12" s="1" t="str">
        <f t="shared" si="2"/>
        <v>Acima de +1%</v>
      </c>
      <c r="AF12" t="str">
        <f t="shared" si="3"/>
        <v>Acima de 34%</v>
      </c>
      <c r="AG12" t="str">
        <f t="shared" si="4"/>
        <v>Acima de 41%</v>
      </c>
      <c r="AH12" s="1"/>
    </row>
    <row r="13" spans="1:34" x14ac:dyDescent="0.45">
      <c r="A13" t="s">
        <v>61</v>
      </c>
      <c r="B13" t="s">
        <v>62</v>
      </c>
      <c r="C13" s="13">
        <v>45733</v>
      </c>
      <c r="D13" t="s">
        <v>29</v>
      </c>
      <c r="E13" t="s">
        <v>30</v>
      </c>
      <c r="F13">
        <v>320</v>
      </c>
      <c r="G13">
        <v>193641</v>
      </c>
      <c r="H13" s="1">
        <v>6.9000000000000006E-2</v>
      </c>
      <c r="I13">
        <v>532</v>
      </c>
      <c r="J13">
        <v>26722</v>
      </c>
      <c r="K13" s="10">
        <v>0.41099999999999998</v>
      </c>
      <c r="L13">
        <v>13</v>
      </c>
      <c r="M13">
        <v>83505</v>
      </c>
      <c r="O13">
        <v>203268</v>
      </c>
      <c r="P13">
        <v>175186</v>
      </c>
      <c r="Q13" s="5">
        <v>0.253</v>
      </c>
      <c r="R13" s="1">
        <v>0.2</v>
      </c>
      <c r="S13" s="1">
        <v>0.45300000000000001</v>
      </c>
      <c r="T13" s="1">
        <v>0.35699999999999998</v>
      </c>
      <c r="U13">
        <v>8862</v>
      </c>
      <c r="V13" s="1">
        <v>0.124</v>
      </c>
      <c r="W13">
        <v>2171</v>
      </c>
      <c r="X13" s="1">
        <v>0.75</v>
      </c>
      <c r="Y13" s="1">
        <f>(O13-P13)/O13</f>
        <v>0.13815258673278627</v>
      </c>
      <c r="Z13" s="2">
        <f>P13/M13</f>
        <v>2.0979103047721694</v>
      </c>
      <c r="AA13" s="13">
        <f t="shared" si="0"/>
        <v>45717</v>
      </c>
      <c r="AB13" t="str">
        <f>IF(X13&gt;=0.5,"Faixa 1",IF(X13=0,"Faixa 3","Faixa 2"))</f>
        <v>Faixa 1</v>
      </c>
      <c r="AC13">
        <v>1</v>
      </c>
      <c r="AD13" t="str">
        <f t="shared" si="1"/>
        <v>2025-1T</v>
      </c>
      <c r="AE13" s="1" t="str">
        <f t="shared" si="2"/>
        <v>Acima de +1%</v>
      </c>
      <c r="AF13" t="str">
        <f t="shared" si="3"/>
        <v>Acima de 34%</v>
      </c>
      <c r="AG13" t="str">
        <f t="shared" si="4"/>
        <v>Acima de 41%</v>
      </c>
      <c r="AH13" s="1"/>
    </row>
    <row r="14" spans="1:34" x14ac:dyDescent="0.45">
      <c r="A14" t="s">
        <v>64</v>
      </c>
      <c r="B14" t="s">
        <v>65</v>
      </c>
      <c r="C14" s="13">
        <v>45740</v>
      </c>
      <c r="D14" t="s">
        <v>29</v>
      </c>
      <c r="E14" t="s">
        <v>30</v>
      </c>
      <c r="F14">
        <v>400</v>
      </c>
      <c r="G14">
        <v>253288</v>
      </c>
      <c r="H14" s="1">
        <v>0.14000000000000001</v>
      </c>
      <c r="I14">
        <v>3344</v>
      </c>
      <c r="J14">
        <v>38828</v>
      </c>
      <c r="K14" s="10">
        <v>0.38400000000000001</v>
      </c>
      <c r="L14">
        <v>18</v>
      </c>
      <c r="M14">
        <v>97070</v>
      </c>
      <c r="O14">
        <v>252601</v>
      </c>
      <c r="P14">
        <v>232905</v>
      </c>
      <c r="Q14" s="1">
        <v>0.2</v>
      </c>
      <c r="R14" s="1">
        <v>0.2</v>
      </c>
      <c r="S14" s="1">
        <v>0.38500000000000001</v>
      </c>
      <c r="T14" s="1">
        <v>0.32700000000000001</v>
      </c>
      <c r="U14">
        <v>9278</v>
      </c>
      <c r="V14" s="1">
        <v>8.5999999999999993E-2</v>
      </c>
      <c r="W14">
        <v>4420</v>
      </c>
      <c r="X14" s="1">
        <v>0</v>
      </c>
      <c r="Y14" s="1">
        <f>(O14-P14)/O14</f>
        <v>7.7972771287524598E-2</v>
      </c>
      <c r="Z14" s="2">
        <f>P14/M14</f>
        <v>2.3993509838261047</v>
      </c>
      <c r="AA14" s="13">
        <f t="shared" si="0"/>
        <v>45717</v>
      </c>
      <c r="AB14" t="str">
        <f>IF(X14&gt;=0.5,"Faixa 1",IF(X14=0,"Faixa 3","Faixa 2"))</f>
        <v>Faixa 3</v>
      </c>
      <c r="AC14">
        <v>1</v>
      </c>
      <c r="AD14" t="str">
        <f t="shared" si="1"/>
        <v>2025-1T</v>
      </c>
      <c r="AE14" s="1" t="str">
        <f t="shared" si="2"/>
        <v>Até +0,5%</v>
      </c>
      <c r="AF14" t="str">
        <f t="shared" si="3"/>
        <v>Ate 34%</v>
      </c>
      <c r="AG14" t="str">
        <f t="shared" si="4"/>
        <v>Ate 39%</v>
      </c>
      <c r="AH14" s="1"/>
    </row>
    <row r="15" spans="1:34" x14ac:dyDescent="0.45">
      <c r="A15" t="s">
        <v>67</v>
      </c>
      <c r="B15" t="s">
        <v>68</v>
      </c>
      <c r="C15" s="13">
        <v>45744</v>
      </c>
      <c r="D15" t="s">
        <v>29</v>
      </c>
      <c r="E15" t="s">
        <v>30</v>
      </c>
      <c r="F15">
        <v>571</v>
      </c>
      <c r="G15">
        <v>241821</v>
      </c>
      <c r="H15" s="4">
        <v>0.158</v>
      </c>
      <c r="I15">
        <v>3306</v>
      </c>
      <c r="J15">
        <v>57205</v>
      </c>
      <c r="K15" s="10">
        <v>0.41599999999999998</v>
      </c>
      <c r="L15">
        <v>20</v>
      </c>
      <c r="M15">
        <v>99940</v>
      </c>
      <c r="O15">
        <v>240696</v>
      </c>
      <c r="P15">
        <v>221835</v>
      </c>
      <c r="Q15" s="1">
        <v>0.20100000000000001</v>
      </c>
      <c r="R15" s="1">
        <v>0.2</v>
      </c>
      <c r="S15" s="1">
        <v>0.34799999999999998</v>
      </c>
      <c r="T15" s="1">
        <v>0.29599999999999999</v>
      </c>
      <c r="U15">
        <v>9041</v>
      </c>
      <c r="V15" s="1">
        <v>6.0999999999999999E-2</v>
      </c>
      <c r="W15">
        <v>3605</v>
      </c>
      <c r="X15" s="1">
        <v>0.26400000000000001</v>
      </c>
      <c r="Y15" s="1">
        <f>(O15-P15)/O15</f>
        <v>7.8360255259746728E-2</v>
      </c>
      <c r="Z15" s="2">
        <f>P15/M15</f>
        <v>2.2196818090854511</v>
      </c>
      <c r="AA15" s="13">
        <f t="shared" si="0"/>
        <v>45717</v>
      </c>
      <c r="AB15" t="str">
        <f>IF(X15&gt;=0.5,"Faixa 1",IF(X15=0,"Faixa 3","Faixa 2"))</f>
        <v>Faixa 2</v>
      </c>
      <c r="AC15">
        <v>1</v>
      </c>
      <c r="AD15" t="str">
        <f t="shared" si="1"/>
        <v>2025-1T</v>
      </c>
      <c r="AE15" s="1" t="str">
        <f t="shared" si="2"/>
        <v>Até +0,5%</v>
      </c>
      <c r="AF15" t="str">
        <f t="shared" si="3"/>
        <v>Ate 32%</v>
      </c>
      <c r="AG15" t="str">
        <f t="shared" si="4"/>
        <v>Ate 39%</v>
      </c>
      <c r="AH15" s="1"/>
    </row>
    <row r="16" spans="1:34" x14ac:dyDescent="0.45">
      <c r="A16" t="s">
        <v>70</v>
      </c>
      <c r="B16" t="s">
        <v>71</v>
      </c>
      <c r="C16" s="13">
        <v>45744</v>
      </c>
      <c r="D16" t="s">
        <v>44</v>
      </c>
      <c r="E16" t="s">
        <v>30</v>
      </c>
      <c r="F16">
        <v>336</v>
      </c>
      <c r="G16">
        <v>219997</v>
      </c>
      <c r="H16" s="1">
        <v>0.10100000000000001</v>
      </c>
      <c r="I16">
        <v>2156</v>
      </c>
      <c r="J16">
        <v>32525</v>
      </c>
      <c r="K16" s="10">
        <v>0.41899999999999998</v>
      </c>
      <c r="L16">
        <v>18</v>
      </c>
      <c r="M16">
        <v>96802</v>
      </c>
      <c r="O16">
        <v>231140</v>
      </c>
      <c r="P16">
        <v>206805</v>
      </c>
      <c r="Q16" s="1">
        <v>0.2</v>
      </c>
      <c r="R16" s="1">
        <v>0.2</v>
      </c>
      <c r="S16" s="1">
        <v>0.38900000000000001</v>
      </c>
      <c r="T16" s="1">
        <v>0.309</v>
      </c>
      <c r="U16">
        <v>10469</v>
      </c>
      <c r="V16" s="1">
        <v>0.13500000000000001</v>
      </c>
      <c r="W16">
        <v>3012</v>
      </c>
      <c r="X16" s="1">
        <v>0.49399999999999999</v>
      </c>
      <c r="Y16" s="1">
        <f>(O16-P16)/O16</f>
        <v>0.10528251276282773</v>
      </c>
      <c r="Z16" s="2">
        <f>P16/M16</f>
        <v>2.1363711493564184</v>
      </c>
      <c r="AA16" s="13">
        <f t="shared" si="0"/>
        <v>45717</v>
      </c>
      <c r="AB16" t="str">
        <f>IF(X16&gt;=0.5,"Faixa 1",IF(X16=0,"Faixa 3","Faixa 2"))</f>
        <v>Faixa 2</v>
      </c>
      <c r="AC16">
        <v>1</v>
      </c>
      <c r="AD16" t="str">
        <f t="shared" si="1"/>
        <v>2025-1T</v>
      </c>
      <c r="AE16" s="1" t="str">
        <f t="shared" si="2"/>
        <v>Até +0,5%</v>
      </c>
      <c r="AF16" t="str">
        <f t="shared" si="3"/>
        <v>Ate 32%</v>
      </c>
      <c r="AG16" t="str">
        <f t="shared" si="4"/>
        <v>Ate 39%</v>
      </c>
      <c r="AH16" s="1"/>
    </row>
    <row r="17" spans="1:34" x14ac:dyDescent="0.45">
      <c r="A17" t="s">
        <v>72</v>
      </c>
      <c r="B17" t="s">
        <v>73</v>
      </c>
      <c r="C17" s="13">
        <v>45749</v>
      </c>
      <c r="D17" t="s">
        <v>75</v>
      </c>
      <c r="E17" t="s">
        <v>30</v>
      </c>
      <c r="F17">
        <v>409</v>
      </c>
      <c r="G17">
        <v>297115</v>
      </c>
      <c r="H17" s="1">
        <v>8.4000000000000005E-2</v>
      </c>
      <c r="I17">
        <v>4380</v>
      </c>
      <c r="J17">
        <v>43662</v>
      </c>
      <c r="K17" s="10">
        <v>0.42199999999999999</v>
      </c>
      <c r="L17">
        <v>22</v>
      </c>
      <c r="M17">
        <v>106753</v>
      </c>
      <c r="O17">
        <v>253073</v>
      </c>
      <c r="P17">
        <v>236834</v>
      </c>
      <c r="Q17" s="1">
        <v>0.2</v>
      </c>
      <c r="R17" s="1">
        <v>0.2</v>
      </c>
      <c r="S17" s="1">
        <v>0.39900000000000002</v>
      </c>
      <c r="T17" s="1">
        <v>0.35199999999999998</v>
      </c>
      <c r="U17">
        <v>13823</v>
      </c>
      <c r="V17" s="1">
        <v>0.124</v>
      </c>
      <c r="W17">
        <v>4224</v>
      </c>
      <c r="X17" s="1">
        <v>0</v>
      </c>
      <c r="Y17" s="1">
        <f>(O17-P17)/O17</f>
        <v>6.4167256088164287E-2</v>
      </c>
      <c r="Z17" s="2">
        <f>P17/M17</f>
        <v>2.218523132839358</v>
      </c>
      <c r="AA17" s="13">
        <f t="shared" si="0"/>
        <v>45748</v>
      </c>
      <c r="AB17" t="str">
        <f>IF(X17&gt;=0.5,"Faixa 1",IF(X17=0,"Faixa 3","Faixa 2"))</f>
        <v>Faixa 3</v>
      </c>
      <c r="AC17">
        <v>1</v>
      </c>
      <c r="AD17" t="str">
        <f t="shared" si="1"/>
        <v>2025-2T</v>
      </c>
      <c r="AE17" s="1" t="str">
        <f t="shared" si="2"/>
        <v>Até +0,5%</v>
      </c>
      <c r="AF17" t="str">
        <f t="shared" si="3"/>
        <v>Acima de 34%</v>
      </c>
      <c r="AG17" t="str">
        <f t="shared" si="4"/>
        <v>Ate 41%</v>
      </c>
      <c r="AH17" s="1"/>
    </row>
    <row r="18" spans="1:34" x14ac:dyDescent="0.45">
      <c r="A18" t="s">
        <v>76</v>
      </c>
      <c r="B18" t="s">
        <v>77</v>
      </c>
      <c r="C18" s="13">
        <v>45754</v>
      </c>
      <c r="D18" t="s">
        <v>60</v>
      </c>
      <c r="E18" t="s">
        <v>35</v>
      </c>
      <c r="F18">
        <v>809</v>
      </c>
      <c r="G18">
        <v>225420</v>
      </c>
      <c r="H18" s="1">
        <v>8.5999999999999993E-2</v>
      </c>
      <c r="I18">
        <v>1862</v>
      </c>
      <c r="J18">
        <v>75503</v>
      </c>
      <c r="K18" s="10">
        <v>0.42399999999999999</v>
      </c>
      <c r="L18">
        <v>19</v>
      </c>
      <c r="M18">
        <v>93329</v>
      </c>
      <c r="O18">
        <v>219860</v>
      </c>
      <c r="P18">
        <v>208479</v>
      </c>
      <c r="Q18" s="1">
        <v>0.222</v>
      </c>
      <c r="R18" s="1">
        <v>0.2</v>
      </c>
      <c r="S18" s="1">
        <v>0.40600000000000003</v>
      </c>
      <c r="T18" s="1">
        <v>0.37</v>
      </c>
      <c r="U18">
        <v>12994</v>
      </c>
      <c r="V18" s="1">
        <v>7.0000000000000007E-2</v>
      </c>
      <c r="W18">
        <v>3002</v>
      </c>
      <c r="X18" s="1">
        <v>0.46700000000000003</v>
      </c>
      <c r="Y18" s="1">
        <f>(O18-P18)/O18</f>
        <v>5.1764759392340577E-2</v>
      </c>
      <c r="Z18" s="2">
        <f>P18/M18</f>
        <v>2.2338072839096101</v>
      </c>
      <c r="AA18" s="13">
        <f t="shared" si="0"/>
        <v>45748</v>
      </c>
      <c r="AB18" t="str">
        <f>IF(X18&gt;=0.5,"Faixa 1",IF(X18=0,"Faixa 3","Faixa 2"))</f>
        <v>Faixa 2</v>
      </c>
      <c r="AC18">
        <v>1</v>
      </c>
      <c r="AD18" t="str">
        <f t="shared" si="1"/>
        <v>2025-2T</v>
      </c>
      <c r="AE18" s="1" t="str">
        <f t="shared" si="2"/>
        <v>Acima de +1%</v>
      </c>
      <c r="AF18" t="str">
        <f t="shared" si="3"/>
        <v>Acima de 34%</v>
      </c>
      <c r="AG18" t="str">
        <f t="shared" si="4"/>
        <v>Ate 41%</v>
      </c>
      <c r="AH18" s="1"/>
    </row>
    <row r="19" spans="1:34" x14ac:dyDescent="0.45">
      <c r="A19" t="s">
        <v>79</v>
      </c>
      <c r="B19" t="s">
        <v>80</v>
      </c>
      <c r="C19" s="13">
        <v>45754</v>
      </c>
      <c r="D19" t="s">
        <v>29</v>
      </c>
      <c r="E19" t="s">
        <v>30</v>
      </c>
      <c r="F19">
        <v>858</v>
      </c>
      <c r="G19">
        <v>239815</v>
      </c>
      <c r="H19" s="1">
        <v>7.400000000000001E-2</v>
      </c>
      <c r="I19">
        <v>1226</v>
      </c>
      <c r="J19">
        <v>83471</v>
      </c>
      <c r="K19" s="10">
        <v>0.41099999999999998</v>
      </c>
      <c r="L19">
        <v>20</v>
      </c>
      <c r="M19">
        <v>97286</v>
      </c>
      <c r="O19">
        <v>215425</v>
      </c>
      <c r="P19">
        <v>215425</v>
      </c>
      <c r="Q19" s="1">
        <v>0.20399999999999999</v>
      </c>
      <c r="R19" s="1">
        <v>0.2</v>
      </c>
      <c r="S19" s="1">
        <v>0.42799999999999999</v>
      </c>
      <c r="T19" s="1">
        <v>0.36499999999999999</v>
      </c>
      <c r="U19">
        <v>25252</v>
      </c>
      <c r="V19" s="1">
        <v>0.115</v>
      </c>
      <c r="W19">
        <v>3253</v>
      </c>
      <c r="X19" s="1">
        <v>0.28999999999999998</v>
      </c>
      <c r="Y19" s="1">
        <f>(O19-P19)/O19</f>
        <v>0</v>
      </c>
      <c r="Z19" s="2">
        <f>P19/M19</f>
        <v>2.2143473881133975</v>
      </c>
      <c r="AA19" s="13">
        <f t="shared" si="0"/>
        <v>45748</v>
      </c>
      <c r="AB19" t="str">
        <f>IF(X19&gt;=0.5,"Faixa 1",IF(X19=0,"Faixa 3","Faixa 2"))</f>
        <v>Faixa 2</v>
      </c>
      <c r="AC19">
        <v>1</v>
      </c>
      <c r="AD19" t="str">
        <f t="shared" si="1"/>
        <v>2025-2T</v>
      </c>
      <c r="AE19" s="1" t="str">
        <f t="shared" si="2"/>
        <v>Até +0,5%</v>
      </c>
      <c r="AF19" t="str">
        <f t="shared" si="3"/>
        <v>Acima de 34%</v>
      </c>
      <c r="AG19" t="str">
        <f t="shared" si="4"/>
        <v>Acima de 41%</v>
      </c>
      <c r="AH19" s="1"/>
    </row>
    <row r="20" spans="1:34" x14ac:dyDescent="0.45">
      <c r="A20" t="s">
        <v>81</v>
      </c>
      <c r="B20" t="s">
        <v>82</v>
      </c>
      <c r="C20" s="13">
        <v>45754</v>
      </c>
      <c r="D20" t="s">
        <v>34</v>
      </c>
      <c r="E20" t="s">
        <v>83</v>
      </c>
      <c r="F20">
        <v>760</v>
      </c>
      <c r="G20">
        <v>192080</v>
      </c>
      <c r="H20" s="1">
        <v>0.06</v>
      </c>
      <c r="I20">
        <v>760</v>
      </c>
      <c r="J20">
        <v>67180</v>
      </c>
      <c r="K20" s="10">
        <v>0.433</v>
      </c>
      <c r="L20">
        <v>16</v>
      </c>
      <c r="M20">
        <v>88395</v>
      </c>
      <c r="O20">
        <v>203934</v>
      </c>
      <c r="P20">
        <v>182017</v>
      </c>
      <c r="Q20" s="5">
        <v>0.26100000000000001</v>
      </c>
      <c r="R20" s="1">
        <v>0.2</v>
      </c>
      <c r="S20" s="1">
        <v>0.40600000000000003</v>
      </c>
      <c r="T20" s="1">
        <v>0.36699999999999999</v>
      </c>
      <c r="U20">
        <v>17684</v>
      </c>
      <c r="V20" s="1">
        <v>0.113</v>
      </c>
      <c r="W20">
        <v>2282</v>
      </c>
      <c r="X20" s="1">
        <v>0.75</v>
      </c>
      <c r="Y20" s="1">
        <f>(O20-P20)/O20</f>
        <v>0.1074710445536301</v>
      </c>
      <c r="Z20" s="2">
        <f>P20/M20</f>
        <v>2.0591323038633407</v>
      </c>
      <c r="AA20" s="13">
        <f t="shared" si="0"/>
        <v>45748</v>
      </c>
      <c r="AB20" t="str">
        <f>IF(X20&gt;=0.5,"Faixa 1",IF(X20=0,"Faixa 3","Faixa 2"))</f>
        <v>Faixa 1</v>
      </c>
      <c r="AC20">
        <v>1</v>
      </c>
      <c r="AD20" t="str">
        <f t="shared" si="1"/>
        <v>2025-2T</v>
      </c>
      <c r="AE20" s="1" t="str">
        <f t="shared" si="2"/>
        <v>Acima de +1%</v>
      </c>
      <c r="AF20" t="str">
        <f t="shared" si="3"/>
        <v>Acima de 34%</v>
      </c>
      <c r="AG20" t="str">
        <f t="shared" si="4"/>
        <v>Ate 41%</v>
      </c>
      <c r="AH20" s="1"/>
    </row>
    <row r="21" spans="1:34" x14ac:dyDescent="0.45">
      <c r="A21" t="s">
        <v>84</v>
      </c>
      <c r="B21" t="s">
        <v>58</v>
      </c>
      <c r="C21" s="13">
        <v>45772</v>
      </c>
      <c r="D21" t="s">
        <v>34</v>
      </c>
      <c r="E21" t="s">
        <v>30</v>
      </c>
      <c r="F21">
        <v>946</v>
      </c>
      <c r="G21">
        <v>213717</v>
      </c>
      <c r="H21" s="1">
        <v>2.4E-2</v>
      </c>
      <c r="I21">
        <v>384</v>
      </c>
      <c r="J21">
        <v>95042</v>
      </c>
      <c r="K21" s="10">
        <v>0.47499999999999998</v>
      </c>
      <c r="L21">
        <v>18</v>
      </c>
      <c r="M21">
        <v>100467</v>
      </c>
      <c r="O21">
        <v>211641</v>
      </c>
      <c r="P21">
        <v>188972</v>
      </c>
      <c r="Q21" s="1">
        <v>0.216</v>
      </c>
      <c r="R21" s="1">
        <v>0.2</v>
      </c>
      <c r="S21" s="1">
        <v>0.42699999999999999</v>
      </c>
      <c r="T21" s="1">
        <v>0.35099999999999998</v>
      </c>
      <c r="U21">
        <v>17058</v>
      </c>
      <c r="V21" s="1">
        <v>7.9000000000000001E-2</v>
      </c>
      <c r="W21">
        <v>2742</v>
      </c>
      <c r="X21" s="1">
        <v>0.45700000000000002</v>
      </c>
      <c r="Y21" s="1">
        <f>(O21-P21)/O21</f>
        <v>0.1071106260129181</v>
      </c>
      <c r="Z21" s="2">
        <f>P21/M21</f>
        <v>1.8809360287457573</v>
      </c>
      <c r="AA21" s="13">
        <f t="shared" si="0"/>
        <v>45748</v>
      </c>
      <c r="AB21" t="str">
        <f>IF(X21&gt;=0.5,"Faixa 1",IF(X21=0,"Faixa 3","Faixa 2"))</f>
        <v>Faixa 2</v>
      </c>
      <c r="AC21">
        <v>1</v>
      </c>
      <c r="AD21" t="str">
        <f t="shared" si="1"/>
        <v>2025-2T</v>
      </c>
      <c r="AE21" s="1" t="str">
        <f t="shared" si="2"/>
        <v>Acima de +1%</v>
      </c>
      <c r="AF21" t="str">
        <f t="shared" si="3"/>
        <v>Acima de 34%</v>
      </c>
      <c r="AG21" t="str">
        <f t="shared" si="4"/>
        <v>Acima de 41%</v>
      </c>
      <c r="AH21" s="1"/>
    </row>
    <row r="22" spans="1:34" x14ac:dyDescent="0.45">
      <c r="A22" t="s">
        <v>86</v>
      </c>
      <c r="B22" t="s">
        <v>87</v>
      </c>
      <c r="C22" s="13">
        <v>45772</v>
      </c>
      <c r="D22" t="s">
        <v>29</v>
      </c>
      <c r="E22" t="s">
        <v>30</v>
      </c>
      <c r="F22">
        <v>214</v>
      </c>
      <c r="G22">
        <v>260139</v>
      </c>
      <c r="H22" s="1">
        <v>0.11700000000000001</v>
      </c>
      <c r="I22">
        <v>2184</v>
      </c>
      <c r="J22">
        <v>22595</v>
      </c>
      <c r="K22" s="10">
        <v>0.40600000000000003</v>
      </c>
      <c r="L22">
        <v>15</v>
      </c>
      <c r="M22">
        <v>105585</v>
      </c>
      <c r="O22">
        <v>259777</v>
      </c>
      <c r="P22">
        <v>238971</v>
      </c>
      <c r="Q22" s="1">
        <v>0.2</v>
      </c>
      <c r="R22" s="1">
        <v>0.2</v>
      </c>
      <c r="S22" s="1">
        <v>0.38800000000000001</v>
      </c>
      <c r="T22" s="1">
        <v>0.32900000000000001</v>
      </c>
      <c r="U22">
        <v>7269</v>
      </c>
      <c r="V22" s="1">
        <v>0.125</v>
      </c>
      <c r="W22">
        <v>4207</v>
      </c>
      <c r="X22" s="1">
        <v>0</v>
      </c>
      <c r="Y22" s="1">
        <f>(O22-P22)/O22</f>
        <v>8.0091771018989358E-2</v>
      </c>
      <c r="Z22" s="2">
        <f>P22/M22</f>
        <v>2.2633044466543542</v>
      </c>
      <c r="AA22" s="13">
        <f t="shared" si="0"/>
        <v>45748</v>
      </c>
      <c r="AB22" t="str">
        <f>IF(X22&gt;=0.5,"Faixa 1",IF(X22=0,"Faixa 3","Faixa 2"))</f>
        <v>Faixa 3</v>
      </c>
      <c r="AC22">
        <v>1</v>
      </c>
      <c r="AD22" t="str">
        <f t="shared" si="1"/>
        <v>2025-2T</v>
      </c>
      <c r="AE22" s="1" t="str">
        <f t="shared" si="2"/>
        <v>Até +0,5%</v>
      </c>
      <c r="AF22" t="str">
        <f t="shared" si="3"/>
        <v>Ate 34%</v>
      </c>
      <c r="AG22" t="str">
        <f t="shared" si="4"/>
        <v>Ate 39%</v>
      </c>
      <c r="AH22" s="1"/>
    </row>
    <row r="23" spans="1:34" x14ac:dyDescent="0.45">
      <c r="A23" t="s">
        <v>88</v>
      </c>
      <c r="B23" t="s">
        <v>89</v>
      </c>
      <c r="C23" s="13">
        <v>45772</v>
      </c>
      <c r="D23" t="s">
        <v>60</v>
      </c>
      <c r="E23" t="s">
        <v>30</v>
      </c>
      <c r="F23">
        <v>672</v>
      </c>
      <c r="G23">
        <v>306310</v>
      </c>
      <c r="H23" s="1">
        <v>0.11600000000000001</v>
      </c>
      <c r="I23">
        <v>3442</v>
      </c>
      <c r="J23">
        <v>67166</v>
      </c>
      <c r="K23" s="10">
        <v>0.36399999999999999</v>
      </c>
      <c r="L23">
        <v>22</v>
      </c>
      <c r="M23">
        <v>99949</v>
      </c>
      <c r="O23">
        <v>254753</v>
      </c>
      <c r="P23">
        <v>254753</v>
      </c>
      <c r="Q23" s="1">
        <v>0.20300000000000001</v>
      </c>
      <c r="R23" s="1">
        <v>0.2</v>
      </c>
      <c r="S23" s="1">
        <v>0.41399999999999998</v>
      </c>
      <c r="T23" s="1">
        <v>0.36199999999999999</v>
      </c>
      <c r="U23">
        <v>19820</v>
      </c>
      <c r="V23" s="1">
        <v>0.106</v>
      </c>
      <c r="W23">
        <v>5177</v>
      </c>
      <c r="X23" s="1">
        <v>0.01</v>
      </c>
      <c r="Y23" s="1">
        <f>(O23-P23)/O23</f>
        <v>0</v>
      </c>
      <c r="Z23" s="2">
        <f>P23/M23</f>
        <v>2.5488299032506578</v>
      </c>
      <c r="AA23" s="13">
        <f t="shared" si="0"/>
        <v>45748</v>
      </c>
      <c r="AB23" t="str">
        <f>IF(X23&gt;=0.5,"Faixa 1",IF(X23=0,"Faixa 3","Faixa 2"))</f>
        <v>Faixa 2</v>
      </c>
      <c r="AC23">
        <v>1</v>
      </c>
      <c r="AD23" t="str">
        <f t="shared" si="1"/>
        <v>2025-2T</v>
      </c>
      <c r="AE23" s="1" t="str">
        <f t="shared" si="2"/>
        <v>Até +0,5%</v>
      </c>
      <c r="AF23" t="str">
        <f t="shared" si="3"/>
        <v>Acima de 34%</v>
      </c>
      <c r="AG23" t="str">
        <f t="shared" si="4"/>
        <v>Acima de 41%</v>
      </c>
      <c r="AH23" s="1"/>
    </row>
    <row r="24" spans="1:34" x14ac:dyDescent="0.45">
      <c r="A24" t="s">
        <v>90</v>
      </c>
      <c r="B24" t="s">
        <v>91</v>
      </c>
      <c r="C24" s="13">
        <v>45775</v>
      </c>
      <c r="D24" t="s">
        <v>93</v>
      </c>
      <c r="E24" t="s">
        <v>30</v>
      </c>
      <c r="F24">
        <v>276</v>
      </c>
      <c r="G24">
        <v>202743</v>
      </c>
      <c r="H24" s="1">
        <v>4.8000000000000001E-2</v>
      </c>
      <c r="I24">
        <v>374</v>
      </c>
      <c r="J24">
        <v>26472</v>
      </c>
      <c r="K24" s="10">
        <v>0.48699999999999999</v>
      </c>
      <c r="L24">
        <v>11</v>
      </c>
      <c r="M24">
        <v>95913</v>
      </c>
      <c r="O24">
        <v>197025</v>
      </c>
      <c r="P24">
        <v>175906</v>
      </c>
      <c r="Q24" s="1">
        <v>0.191</v>
      </c>
      <c r="R24" s="1">
        <v>0.2</v>
      </c>
      <c r="S24" s="1">
        <v>0.35799999999999998</v>
      </c>
      <c r="T24" s="1">
        <v>0.3</v>
      </c>
      <c r="U24">
        <v>11707</v>
      </c>
      <c r="V24" s="1">
        <v>0.20399999999999999</v>
      </c>
      <c r="W24">
        <v>2550</v>
      </c>
      <c r="X24" s="1">
        <v>0.71599999999999997</v>
      </c>
      <c r="Y24" s="1">
        <f>(O24-P24)/O24</f>
        <v>0.10718944296409084</v>
      </c>
      <c r="Z24" s="2">
        <f>P24/M24</f>
        <v>1.8340162438876899</v>
      </c>
      <c r="AA24" s="13">
        <f t="shared" si="0"/>
        <v>45748</v>
      </c>
      <c r="AB24" t="str">
        <f>IF(X24&gt;=0.5,"Faixa 1",IF(X24=0,"Faixa 3","Faixa 2"))</f>
        <v>Faixa 1</v>
      </c>
      <c r="AC24">
        <v>1</v>
      </c>
      <c r="AD24" t="str">
        <f t="shared" si="1"/>
        <v>2025-2T</v>
      </c>
      <c r="AE24" s="1" t="str">
        <f t="shared" si="2"/>
        <v>Até +0,5%</v>
      </c>
      <c r="AF24" t="str">
        <f t="shared" si="3"/>
        <v>Ate 32%</v>
      </c>
      <c r="AG24" t="str">
        <f t="shared" si="4"/>
        <v>Ate 39%</v>
      </c>
      <c r="AH24" s="1"/>
    </row>
    <row r="25" spans="1:34" x14ac:dyDescent="0.45">
      <c r="A25" t="s">
        <v>94</v>
      </c>
      <c r="B25" t="s">
        <v>95</v>
      </c>
      <c r="C25" s="13">
        <v>45775</v>
      </c>
      <c r="D25" t="s">
        <v>60</v>
      </c>
      <c r="E25" t="s">
        <v>30</v>
      </c>
      <c r="F25">
        <v>690</v>
      </c>
      <c r="G25">
        <v>218942</v>
      </c>
      <c r="H25" s="1">
        <v>0.08</v>
      </c>
      <c r="I25">
        <v>581</v>
      </c>
      <c r="J25">
        <v>65010</v>
      </c>
      <c r="K25" s="10">
        <v>0.46899999999999997</v>
      </c>
      <c r="L25">
        <v>15</v>
      </c>
      <c r="M25">
        <v>94218</v>
      </c>
      <c r="O25">
        <v>200701</v>
      </c>
      <c r="P25">
        <v>179501</v>
      </c>
      <c r="Q25" s="1">
        <v>0.224</v>
      </c>
      <c r="R25" s="1">
        <v>0.2</v>
      </c>
      <c r="S25" s="1">
        <v>0.38900000000000001</v>
      </c>
      <c r="T25" s="1">
        <v>0.311</v>
      </c>
      <c r="U25">
        <v>9468</v>
      </c>
      <c r="V25" s="1">
        <v>6.6000000000000003E-2</v>
      </c>
      <c r="W25">
        <v>2494</v>
      </c>
      <c r="X25" s="1">
        <v>0.68700000000000006</v>
      </c>
      <c r="Y25" s="1">
        <f>(O25-P25)/O25</f>
        <v>0.1056297676643365</v>
      </c>
      <c r="Z25" s="2">
        <f>P25/M25</f>
        <v>1.9051667409624489</v>
      </c>
      <c r="AA25" s="13">
        <f t="shared" si="0"/>
        <v>45748</v>
      </c>
      <c r="AB25" t="str">
        <f>IF(X25&gt;=0.5,"Faixa 1",IF(X25=0,"Faixa 3","Faixa 2"))</f>
        <v>Faixa 1</v>
      </c>
      <c r="AC25">
        <v>1</v>
      </c>
      <c r="AD25" t="str">
        <f t="shared" si="1"/>
        <v>2025-2T</v>
      </c>
      <c r="AE25" s="1" t="str">
        <f t="shared" si="2"/>
        <v>Acima de +1%</v>
      </c>
      <c r="AF25" t="str">
        <f t="shared" si="3"/>
        <v>Ate 32%</v>
      </c>
      <c r="AG25" t="str">
        <f t="shared" si="4"/>
        <v>Ate 39%</v>
      </c>
      <c r="AH25" s="1"/>
    </row>
    <row r="26" spans="1:34" x14ac:dyDescent="0.45">
      <c r="A26" t="s">
        <v>96</v>
      </c>
      <c r="B26" t="s">
        <v>97</v>
      </c>
      <c r="C26" s="13">
        <v>45786</v>
      </c>
      <c r="D26" t="s">
        <v>60</v>
      </c>
      <c r="E26" t="s">
        <v>30</v>
      </c>
      <c r="F26">
        <v>420</v>
      </c>
      <c r="G26">
        <v>251698</v>
      </c>
      <c r="H26" s="1">
        <v>0.10299999999999999</v>
      </c>
      <c r="I26">
        <v>1256</v>
      </c>
      <c r="J26">
        <v>41022</v>
      </c>
      <c r="K26" s="10">
        <v>0.41099999999999998</v>
      </c>
      <c r="L26">
        <v>19</v>
      </c>
      <c r="M26">
        <v>97672</v>
      </c>
      <c r="O26">
        <v>237686</v>
      </c>
      <c r="P26">
        <v>214674</v>
      </c>
      <c r="Q26" s="1">
        <v>0.2</v>
      </c>
      <c r="R26" s="1">
        <v>0.2</v>
      </c>
      <c r="S26" s="1">
        <v>0.39800000000000002</v>
      </c>
      <c r="T26" s="1">
        <v>0.32600000000000001</v>
      </c>
      <c r="U26">
        <v>13102</v>
      </c>
      <c r="V26" s="1">
        <v>0.129</v>
      </c>
      <c r="W26">
        <v>3606</v>
      </c>
      <c r="X26" s="1">
        <v>0.28199999999999997</v>
      </c>
      <c r="Y26" s="1">
        <f>(O26-P26)/O26</f>
        <v>9.6816808730846582E-2</v>
      </c>
      <c r="Z26" s="2">
        <f>P26/M26</f>
        <v>2.1979072815136376</v>
      </c>
      <c r="AA26" s="13">
        <f t="shared" si="0"/>
        <v>45778</v>
      </c>
      <c r="AB26" t="str">
        <f>IF(X26&gt;=0.5,"Faixa 1",IF(X26=0,"Faixa 3","Faixa 2"))</f>
        <v>Faixa 2</v>
      </c>
      <c r="AC26">
        <v>1</v>
      </c>
      <c r="AD26" t="str">
        <f t="shared" si="1"/>
        <v>2025-2T</v>
      </c>
      <c r="AE26" s="1" t="str">
        <f t="shared" si="2"/>
        <v>Até +0,5%</v>
      </c>
      <c r="AF26" t="str">
        <f t="shared" si="3"/>
        <v>Ate 34%</v>
      </c>
      <c r="AG26" t="str">
        <f t="shared" si="4"/>
        <v>Ate 41%</v>
      </c>
      <c r="AH26" s="1"/>
    </row>
    <row r="27" spans="1:34" x14ac:dyDescent="0.45">
      <c r="A27" t="s">
        <v>99</v>
      </c>
      <c r="B27" t="s">
        <v>100</v>
      </c>
      <c r="C27" s="13">
        <v>45796</v>
      </c>
      <c r="D27" t="s">
        <v>29</v>
      </c>
      <c r="E27" t="s">
        <v>30</v>
      </c>
      <c r="F27">
        <v>572</v>
      </c>
      <c r="G27">
        <v>241023</v>
      </c>
      <c r="H27" s="1">
        <v>5.5999999999999987E-2</v>
      </c>
      <c r="I27">
        <v>549</v>
      </c>
      <c r="J27">
        <v>53092</v>
      </c>
      <c r="K27" s="10">
        <v>0.42299999999999999</v>
      </c>
      <c r="L27">
        <v>19</v>
      </c>
      <c r="M27">
        <v>92818</v>
      </c>
      <c r="O27">
        <v>219526</v>
      </c>
      <c r="P27">
        <v>201778</v>
      </c>
      <c r="Q27" s="5">
        <v>0.27200000000000002</v>
      </c>
      <c r="R27" s="1">
        <v>0.2</v>
      </c>
      <c r="S27" s="1">
        <v>0.43099999999999999</v>
      </c>
      <c r="T27" s="1">
        <v>0.376</v>
      </c>
      <c r="U27">
        <v>13392</v>
      </c>
      <c r="V27" s="1">
        <v>0.10100000000000001</v>
      </c>
      <c r="W27">
        <v>3179</v>
      </c>
      <c r="X27" s="1">
        <v>0.38100000000000001</v>
      </c>
      <c r="Y27" s="1">
        <f>(O27-P27)/O27</f>
        <v>8.0846915627306101E-2</v>
      </c>
      <c r="Z27" s="2">
        <f>P27/M27</f>
        <v>2.1739102329289577</v>
      </c>
      <c r="AA27" s="13">
        <f t="shared" si="0"/>
        <v>45778</v>
      </c>
      <c r="AB27" t="str">
        <f>IF(X27&gt;=0.5,"Faixa 1",IF(X27=0,"Faixa 3","Faixa 2"))</f>
        <v>Faixa 2</v>
      </c>
      <c r="AC27">
        <v>1</v>
      </c>
      <c r="AD27" t="str">
        <f t="shared" si="1"/>
        <v>2025-2T</v>
      </c>
      <c r="AE27" s="1" t="str">
        <f t="shared" si="2"/>
        <v>Acima de +1%</v>
      </c>
      <c r="AF27" t="str">
        <f t="shared" si="3"/>
        <v>Acima de 34%</v>
      </c>
      <c r="AG27" t="str">
        <f t="shared" si="4"/>
        <v>Acima de 41%</v>
      </c>
      <c r="AH27" s="1"/>
    </row>
    <row r="28" spans="1:34" x14ac:dyDescent="0.45">
      <c r="A28" t="s">
        <v>102</v>
      </c>
      <c r="B28" t="s">
        <v>103</v>
      </c>
      <c r="C28" s="13">
        <v>45796</v>
      </c>
      <c r="D28" t="s">
        <v>34</v>
      </c>
      <c r="E28" t="s">
        <v>30</v>
      </c>
      <c r="F28">
        <v>1043</v>
      </c>
      <c r="G28">
        <v>263317</v>
      </c>
      <c r="H28" s="1">
        <v>6.7000000000000004E-2</v>
      </c>
      <c r="I28">
        <v>1139</v>
      </c>
      <c r="J28">
        <v>91594</v>
      </c>
      <c r="K28" s="10">
        <v>0.34699999999999998</v>
      </c>
      <c r="L28">
        <v>21</v>
      </c>
      <c r="M28">
        <v>87818</v>
      </c>
      <c r="O28">
        <v>253150</v>
      </c>
      <c r="P28">
        <v>229232</v>
      </c>
      <c r="Q28" s="8">
        <v>0.30399999999999999</v>
      </c>
      <c r="R28" s="1">
        <v>0.2</v>
      </c>
      <c r="S28" s="5">
        <v>0.51500000000000001</v>
      </c>
      <c r="T28" s="8">
        <v>0.45900000000000002</v>
      </c>
      <c r="U28">
        <v>18808</v>
      </c>
      <c r="V28" s="1">
        <v>7.0000000000000007E-2</v>
      </c>
      <c r="W28">
        <v>4693</v>
      </c>
      <c r="X28" s="1">
        <v>0</v>
      </c>
      <c r="Y28" s="1">
        <f>(O28-P28)/O28</f>
        <v>9.4481532688129574E-2</v>
      </c>
      <c r="Z28" s="2">
        <f>P28/M28</f>
        <v>2.6103076817964426</v>
      </c>
      <c r="AA28" s="13">
        <f t="shared" si="0"/>
        <v>45778</v>
      </c>
      <c r="AB28" t="str">
        <f>IF(X28&gt;=0.5,"Faixa 1",IF(X28=0,"Faixa 3","Faixa 2"))</f>
        <v>Faixa 3</v>
      </c>
      <c r="AC28">
        <v>1</v>
      </c>
      <c r="AD28" t="str">
        <f t="shared" si="1"/>
        <v>2025-2T</v>
      </c>
      <c r="AE28" s="1" t="str">
        <f t="shared" si="2"/>
        <v>Acima de +1%</v>
      </c>
      <c r="AF28" t="str">
        <f t="shared" si="3"/>
        <v>Acima de 34%</v>
      </c>
      <c r="AG28" t="str">
        <f t="shared" si="4"/>
        <v>Acima de 41%</v>
      </c>
      <c r="AH28" s="1"/>
    </row>
    <row r="29" spans="1:34" x14ac:dyDescent="0.45">
      <c r="A29" t="s">
        <v>104</v>
      </c>
      <c r="B29" t="s">
        <v>105</v>
      </c>
      <c r="C29" s="13">
        <v>45800</v>
      </c>
      <c r="D29" t="s">
        <v>107</v>
      </c>
      <c r="E29" t="s">
        <v>30</v>
      </c>
      <c r="F29">
        <v>414</v>
      </c>
      <c r="G29">
        <v>211860</v>
      </c>
      <c r="H29" s="1">
        <v>5.8000000000000003E-2</v>
      </c>
      <c r="I29">
        <v>487</v>
      </c>
      <c r="J29">
        <v>36856</v>
      </c>
      <c r="K29" s="10">
        <v>0.42899999999999999</v>
      </c>
      <c r="L29">
        <v>12</v>
      </c>
      <c r="M29">
        <v>89023</v>
      </c>
      <c r="O29">
        <v>207517</v>
      </c>
      <c r="P29">
        <v>185311</v>
      </c>
      <c r="Q29" s="1">
        <v>0.20399999999999999</v>
      </c>
      <c r="R29" s="1">
        <v>0.2</v>
      </c>
      <c r="S29" s="1">
        <v>0.38800000000000001</v>
      </c>
      <c r="T29" s="1">
        <v>0.308</v>
      </c>
      <c r="U29">
        <v>14652</v>
      </c>
      <c r="V29" s="1">
        <v>0.17</v>
      </c>
      <c r="W29">
        <v>3265</v>
      </c>
      <c r="X29" s="1">
        <v>0.47199999999999998</v>
      </c>
      <c r="Y29" s="1">
        <f>(O29-P29)/O29</f>
        <v>0.10700810054116049</v>
      </c>
      <c r="Z29" s="2">
        <f>P29/M29</f>
        <v>2.0816081237433024</v>
      </c>
      <c r="AA29" s="13">
        <f t="shared" si="0"/>
        <v>45778</v>
      </c>
      <c r="AB29" t="str">
        <f>IF(X29&gt;=0.5,"Faixa 1",IF(X29=0,"Faixa 3","Faixa 2"))</f>
        <v>Faixa 2</v>
      </c>
      <c r="AC29">
        <v>1</v>
      </c>
      <c r="AD29" t="str">
        <f t="shared" si="1"/>
        <v>2025-2T</v>
      </c>
      <c r="AE29" s="1" t="str">
        <f t="shared" si="2"/>
        <v>Até +0,5%</v>
      </c>
      <c r="AF29" t="str">
        <f t="shared" si="3"/>
        <v>Ate 32%</v>
      </c>
      <c r="AG29" t="str">
        <f t="shared" si="4"/>
        <v>Ate 39%</v>
      </c>
      <c r="AH29" s="1"/>
    </row>
    <row r="30" spans="1:34" x14ac:dyDescent="0.45">
      <c r="A30" t="s">
        <v>108</v>
      </c>
      <c r="B30" t="s">
        <v>109</v>
      </c>
      <c r="C30" s="13">
        <v>45803</v>
      </c>
      <c r="D30" t="s">
        <v>29</v>
      </c>
      <c r="E30" t="s">
        <v>30</v>
      </c>
      <c r="F30">
        <v>564</v>
      </c>
      <c r="G30">
        <v>249929</v>
      </c>
      <c r="H30" s="1">
        <v>9.4E-2</v>
      </c>
      <c r="I30">
        <v>650</v>
      </c>
      <c r="J30">
        <v>60122</v>
      </c>
      <c r="K30" s="10">
        <v>0.44800000000000001</v>
      </c>
      <c r="L30">
        <v>18</v>
      </c>
      <c r="M30">
        <v>106599</v>
      </c>
      <c r="O30">
        <v>218265</v>
      </c>
      <c r="P30">
        <v>218265</v>
      </c>
      <c r="Q30" s="1">
        <v>0.20100000000000001</v>
      </c>
      <c r="R30" s="1">
        <v>0.2</v>
      </c>
      <c r="S30" s="1">
        <v>0.377</v>
      </c>
      <c r="T30" s="1">
        <v>0.314</v>
      </c>
      <c r="U30">
        <v>10618</v>
      </c>
      <c r="V30" s="1">
        <v>7.2999999999999995E-2</v>
      </c>
      <c r="W30">
        <v>3769.13</v>
      </c>
      <c r="X30" s="1">
        <v>0.19</v>
      </c>
      <c r="Y30" s="1">
        <f>(O30-P30)/O30</f>
        <v>0</v>
      </c>
      <c r="Z30" s="2">
        <f>P30/M30</f>
        <v>2.0475332789238174</v>
      </c>
      <c r="AA30" s="13">
        <f t="shared" si="0"/>
        <v>45778</v>
      </c>
      <c r="AB30" t="str">
        <f>IF(X30&gt;=0.5,"Faixa 1",IF(X30=0,"Faixa 3","Faixa 2"))</f>
        <v>Faixa 2</v>
      </c>
      <c r="AC30">
        <v>1</v>
      </c>
      <c r="AD30" t="str">
        <f t="shared" si="1"/>
        <v>2025-2T</v>
      </c>
      <c r="AE30" s="1" t="str">
        <f t="shared" si="2"/>
        <v>Até +0,5%</v>
      </c>
      <c r="AF30" t="str">
        <f t="shared" si="3"/>
        <v>Ate 32%</v>
      </c>
      <c r="AG30" t="str">
        <f t="shared" si="4"/>
        <v>Ate 39%</v>
      </c>
      <c r="AH30" s="1"/>
    </row>
    <row r="31" spans="1:34" x14ac:dyDescent="0.45">
      <c r="A31" t="s">
        <v>111</v>
      </c>
      <c r="B31" t="s">
        <v>112</v>
      </c>
      <c r="C31" s="13">
        <v>45803</v>
      </c>
      <c r="D31" t="s">
        <v>29</v>
      </c>
      <c r="E31" t="s">
        <v>30</v>
      </c>
      <c r="F31">
        <v>714</v>
      </c>
      <c r="G31">
        <v>212269</v>
      </c>
      <c r="H31" s="1">
        <v>3.5999999999999997E-2</v>
      </c>
      <c r="I31">
        <v>413</v>
      </c>
      <c r="J31">
        <v>74873</v>
      </c>
      <c r="K31" s="10">
        <v>0.48599999999999999</v>
      </c>
      <c r="L31">
        <v>17</v>
      </c>
      <c r="M31">
        <v>104864</v>
      </c>
      <c r="O31">
        <v>215611</v>
      </c>
      <c r="P31">
        <v>197671</v>
      </c>
      <c r="Q31" s="1">
        <v>0.20100000000000001</v>
      </c>
      <c r="R31" s="1">
        <v>0.2</v>
      </c>
      <c r="S31" s="1">
        <v>0.39200000000000002</v>
      </c>
      <c r="T31" s="1">
        <v>0.33100000000000002</v>
      </c>
      <c r="U31">
        <v>19963</v>
      </c>
      <c r="V31" s="1">
        <v>0.12</v>
      </c>
      <c r="W31">
        <v>2889</v>
      </c>
      <c r="X31" s="1">
        <v>0.51100000000000001</v>
      </c>
      <c r="Y31" s="1">
        <f>(O31-P31)/O31</f>
        <v>8.3205402321773939E-2</v>
      </c>
      <c r="Z31" s="2">
        <f>P31/M31</f>
        <v>1.8850225053402503</v>
      </c>
      <c r="AA31" s="13">
        <f t="shared" si="0"/>
        <v>45778</v>
      </c>
      <c r="AB31" t="str">
        <f>IF(X31&gt;=0.5,"Faixa 1",IF(X31=0,"Faixa 3","Faixa 2"))</f>
        <v>Faixa 1</v>
      </c>
      <c r="AC31">
        <v>1</v>
      </c>
      <c r="AD31" t="str">
        <f t="shared" si="1"/>
        <v>2025-2T</v>
      </c>
      <c r="AE31" s="1" t="str">
        <f t="shared" si="2"/>
        <v>Até +0,5%</v>
      </c>
      <c r="AF31" t="str">
        <f t="shared" si="3"/>
        <v>Ate 34%</v>
      </c>
      <c r="AG31" t="str">
        <f t="shared" si="4"/>
        <v>Ate 41%</v>
      </c>
      <c r="AH31" s="1"/>
    </row>
    <row r="32" spans="1:34" x14ac:dyDescent="0.45">
      <c r="A32" t="s">
        <v>113</v>
      </c>
      <c r="B32" t="s">
        <v>114</v>
      </c>
      <c r="C32" s="13">
        <v>45803</v>
      </c>
      <c r="D32" t="s">
        <v>29</v>
      </c>
      <c r="E32" t="s">
        <v>30</v>
      </c>
      <c r="F32">
        <v>294</v>
      </c>
      <c r="G32">
        <v>209765</v>
      </c>
      <c r="H32" s="1">
        <v>5.5999999999999987E-2</v>
      </c>
      <c r="I32">
        <v>202</v>
      </c>
      <c r="J32">
        <v>27108</v>
      </c>
      <c r="K32" s="10">
        <v>0.43099999999999999</v>
      </c>
      <c r="L32">
        <v>12</v>
      </c>
      <c r="M32">
        <v>92205</v>
      </c>
      <c r="O32">
        <v>213984</v>
      </c>
      <c r="P32">
        <v>185778</v>
      </c>
      <c r="Q32" s="1">
        <v>0.214</v>
      </c>
      <c r="R32" s="1">
        <v>0.2</v>
      </c>
      <c r="S32" s="1">
        <v>0.42199999999999999</v>
      </c>
      <c r="T32" s="1">
        <v>0.32700000000000001</v>
      </c>
      <c r="U32">
        <v>12142</v>
      </c>
      <c r="V32" s="1">
        <v>0.17799999999999999</v>
      </c>
      <c r="W32">
        <v>2424</v>
      </c>
      <c r="X32" s="1">
        <v>0.67500000000000004</v>
      </c>
      <c r="Y32" s="1">
        <f>(O32-P32)/O32</f>
        <v>0.1318135935397039</v>
      </c>
      <c r="Z32" s="2">
        <f>P32/M32</f>
        <v>2.0148365056124939</v>
      </c>
      <c r="AA32" s="13">
        <f t="shared" si="0"/>
        <v>45778</v>
      </c>
      <c r="AB32" t="str">
        <f>IF(X32&gt;=0.5,"Faixa 1",IF(X32=0,"Faixa 3","Faixa 2"))</f>
        <v>Faixa 1</v>
      </c>
      <c r="AC32">
        <v>1</v>
      </c>
      <c r="AD32" t="str">
        <f t="shared" si="1"/>
        <v>2025-2T</v>
      </c>
      <c r="AE32" s="1" t="str">
        <f t="shared" si="2"/>
        <v>Acima de +1%</v>
      </c>
      <c r="AF32" t="str">
        <f t="shared" si="3"/>
        <v>Ate 34%</v>
      </c>
      <c r="AG32" t="str">
        <f t="shared" si="4"/>
        <v>Acima de 41%</v>
      </c>
      <c r="AH32" s="1"/>
    </row>
    <row r="33" spans="1:34" x14ac:dyDescent="0.45">
      <c r="A33" t="s">
        <v>115</v>
      </c>
      <c r="B33" t="s">
        <v>116</v>
      </c>
      <c r="C33" s="13">
        <v>45810</v>
      </c>
      <c r="D33" t="s">
        <v>29</v>
      </c>
      <c r="E33" t="s">
        <v>30</v>
      </c>
      <c r="F33">
        <v>1238</v>
      </c>
      <c r="G33">
        <v>226149</v>
      </c>
      <c r="H33" s="1">
        <v>0.05</v>
      </c>
      <c r="I33">
        <v>563</v>
      </c>
      <c r="J33">
        <v>101294</v>
      </c>
      <c r="K33" s="10">
        <v>0.47</v>
      </c>
      <c r="L33">
        <v>19</v>
      </c>
      <c r="M33" s="12">
        <v>101294.87</v>
      </c>
      <c r="O33">
        <v>217000</v>
      </c>
      <c r="P33">
        <v>193000</v>
      </c>
      <c r="Q33" s="1">
        <v>0.2</v>
      </c>
      <c r="R33" s="1">
        <v>0.2</v>
      </c>
      <c r="S33" s="1">
        <v>0.41</v>
      </c>
      <c r="T33" s="1">
        <v>0.33</v>
      </c>
      <c r="U33">
        <v>20359</v>
      </c>
      <c r="V33" s="3">
        <v>7.0000000000000007E-2</v>
      </c>
      <c r="W33">
        <v>3256</v>
      </c>
      <c r="X33" s="1">
        <v>0.315</v>
      </c>
      <c r="Y33" s="1">
        <f>(O33-P33)/O33</f>
        <v>0.11059907834101383</v>
      </c>
      <c r="Z33" s="2">
        <f>P33/M33</f>
        <v>1.9053284731990872</v>
      </c>
      <c r="AA33" s="13">
        <f t="shared" si="0"/>
        <v>45809</v>
      </c>
      <c r="AB33" t="str">
        <f>IF(X33&gt;=0.5,"Faixa 1",IF(X33=0,"Faixa 3","Faixa 2"))</f>
        <v>Faixa 2</v>
      </c>
      <c r="AC33">
        <v>1</v>
      </c>
      <c r="AD33" t="str">
        <f t="shared" si="1"/>
        <v>2025-2T</v>
      </c>
      <c r="AE33" s="1" t="str">
        <f t="shared" si="2"/>
        <v>Até +0,5%</v>
      </c>
      <c r="AF33" t="str">
        <f t="shared" si="3"/>
        <v>Ate 34%</v>
      </c>
      <c r="AG33" t="str">
        <f t="shared" si="4"/>
        <v>Ate 41%</v>
      </c>
      <c r="AH33" s="1"/>
    </row>
    <row r="34" spans="1:34" x14ac:dyDescent="0.45">
      <c r="A34" t="s">
        <v>118</v>
      </c>
      <c r="B34" t="s">
        <v>77</v>
      </c>
      <c r="C34" s="13">
        <v>45810</v>
      </c>
      <c r="D34" t="s">
        <v>34</v>
      </c>
      <c r="E34" t="s">
        <v>35</v>
      </c>
      <c r="F34">
        <v>809</v>
      </c>
      <c r="G34">
        <v>221965</v>
      </c>
      <c r="H34" s="1">
        <v>8.5000000000000006E-2</v>
      </c>
      <c r="I34">
        <v>1868</v>
      </c>
      <c r="J34">
        <v>75040</v>
      </c>
      <c r="K34" s="10">
        <v>0.41699999999999998</v>
      </c>
      <c r="L34">
        <v>24</v>
      </c>
      <c r="M34">
        <v>92756</v>
      </c>
      <c r="O34">
        <v>222208</v>
      </c>
      <c r="P34">
        <v>220863</v>
      </c>
      <c r="Q34" s="5">
        <v>0.255</v>
      </c>
      <c r="R34" s="1">
        <v>0.2</v>
      </c>
      <c r="S34" s="1">
        <v>0.40400000000000003</v>
      </c>
      <c r="T34" s="1">
        <v>0.4</v>
      </c>
      <c r="U34">
        <v>14989</v>
      </c>
      <c r="V34" s="1">
        <v>8.4000000000000005E-2</v>
      </c>
      <c r="W34">
        <v>2644</v>
      </c>
      <c r="X34" s="1">
        <v>0.70099999999999996</v>
      </c>
      <c r="Y34" s="1">
        <f>(O34-P34)/O34</f>
        <v>6.0528873847926264E-3</v>
      </c>
      <c r="Z34" s="2">
        <f>P34/M34</f>
        <v>2.3811182025960584</v>
      </c>
      <c r="AA34" s="13">
        <f t="shared" si="0"/>
        <v>45809</v>
      </c>
      <c r="AB34" t="str">
        <f>IF(X34&gt;=0.5,"Faixa 1",IF(X34=0,"Faixa 3","Faixa 2"))</f>
        <v>Faixa 1</v>
      </c>
      <c r="AC34">
        <v>1</v>
      </c>
      <c r="AD34" t="str">
        <f t="shared" si="1"/>
        <v>2025-2T</v>
      </c>
      <c r="AE34" s="1" t="str">
        <f t="shared" si="2"/>
        <v>Acima de +1%</v>
      </c>
      <c r="AF34" t="str">
        <f t="shared" si="3"/>
        <v>Acima de 34%</v>
      </c>
      <c r="AG34" t="str">
        <f t="shared" si="4"/>
        <v>Ate 41%</v>
      </c>
      <c r="AH34" s="1"/>
    </row>
    <row r="35" spans="1:34" x14ac:dyDescent="0.45">
      <c r="A35" t="s">
        <v>119</v>
      </c>
      <c r="B35" t="s">
        <v>120</v>
      </c>
      <c r="C35" s="13">
        <v>45810</v>
      </c>
      <c r="D35" t="s">
        <v>29</v>
      </c>
      <c r="E35" t="s">
        <v>30</v>
      </c>
      <c r="F35">
        <v>345</v>
      </c>
      <c r="G35">
        <v>213945</v>
      </c>
      <c r="H35" s="1">
        <v>8.8000000000000009E-2</v>
      </c>
      <c r="I35">
        <v>623</v>
      </c>
      <c r="J35">
        <v>32167</v>
      </c>
      <c r="K35" s="10">
        <v>0.434</v>
      </c>
      <c r="L35">
        <v>12</v>
      </c>
      <c r="M35">
        <v>93239</v>
      </c>
      <c r="O35">
        <v>214703</v>
      </c>
      <c r="P35">
        <v>190950</v>
      </c>
      <c r="Q35" s="1">
        <v>0.215</v>
      </c>
      <c r="R35" s="1">
        <v>0.2</v>
      </c>
      <c r="S35" s="1">
        <v>0.40500000000000003</v>
      </c>
      <c r="T35" s="1">
        <v>0.32500000000000001</v>
      </c>
      <c r="U35">
        <v>12387</v>
      </c>
      <c r="V35" s="1">
        <v>0.157</v>
      </c>
      <c r="W35">
        <v>3368</v>
      </c>
      <c r="X35" s="1">
        <v>0.35899999999999999</v>
      </c>
      <c r="Y35" s="1">
        <f>(O35-P35)/O35</f>
        <v>0.11063189615422235</v>
      </c>
      <c r="Z35" s="2">
        <f>P35/M35</f>
        <v>2.0479627623633889</v>
      </c>
      <c r="AA35" s="13">
        <f t="shared" si="0"/>
        <v>45809</v>
      </c>
      <c r="AB35" t="str">
        <f>IF(X35&gt;=0.5,"Faixa 1",IF(X35=0,"Faixa 3","Faixa 2"))</f>
        <v>Faixa 2</v>
      </c>
      <c r="AC35">
        <v>1</v>
      </c>
      <c r="AD35" t="str">
        <f t="shared" si="1"/>
        <v>2025-2T</v>
      </c>
      <c r="AE35" s="1" t="str">
        <f t="shared" si="2"/>
        <v>Acima de +1%</v>
      </c>
      <c r="AF35" t="str">
        <f t="shared" si="3"/>
        <v>Ate 34%</v>
      </c>
      <c r="AG35" t="str">
        <f t="shared" si="4"/>
        <v>Ate 41%</v>
      </c>
      <c r="AH35" s="1"/>
    </row>
    <row r="36" spans="1:34" x14ac:dyDescent="0.45">
      <c r="A36" t="s">
        <v>121</v>
      </c>
      <c r="B36" t="s">
        <v>122</v>
      </c>
      <c r="C36" s="13">
        <v>45817</v>
      </c>
      <c r="D36" t="s">
        <v>34</v>
      </c>
      <c r="E36" t="s">
        <v>30</v>
      </c>
      <c r="F36">
        <v>541</v>
      </c>
      <c r="G36">
        <v>207203</v>
      </c>
      <c r="H36" s="1">
        <v>4.4999999999999998E-2</v>
      </c>
      <c r="I36">
        <v>284</v>
      </c>
      <c r="J36">
        <v>49164</v>
      </c>
      <c r="K36" s="10">
        <v>0.47799999999999998</v>
      </c>
      <c r="L36">
        <v>15</v>
      </c>
      <c r="M36">
        <v>90877</v>
      </c>
      <c r="O36">
        <v>190099</v>
      </c>
      <c r="P36">
        <v>173758</v>
      </c>
      <c r="Q36" s="1">
        <v>0.22800000000000001</v>
      </c>
      <c r="R36" s="1">
        <v>0.21299999999999999</v>
      </c>
      <c r="S36" s="1">
        <v>0.41499999999999998</v>
      </c>
      <c r="T36" s="1">
        <v>0.35499999999999998</v>
      </c>
      <c r="U36">
        <v>16140</v>
      </c>
      <c r="V36" s="1">
        <v>0.156</v>
      </c>
      <c r="W36">
        <v>2213</v>
      </c>
      <c r="X36" s="1">
        <v>0.8909999999999999</v>
      </c>
      <c r="Y36" s="1">
        <f>(O36-P36)/O36</f>
        <v>8.5960473227107981E-2</v>
      </c>
      <c r="Z36" s="2">
        <f>P36/M36</f>
        <v>1.9120129405680204</v>
      </c>
      <c r="AA36" s="13">
        <f t="shared" si="0"/>
        <v>45809</v>
      </c>
      <c r="AB36" t="str">
        <f>IF(X36&gt;=0.5,"Faixa 1",IF(X36=0,"Faixa 3","Faixa 2"))</f>
        <v>Faixa 1</v>
      </c>
      <c r="AC36">
        <v>1</v>
      </c>
      <c r="AD36" t="str">
        <f t="shared" si="1"/>
        <v>2025-2T</v>
      </c>
      <c r="AE36" s="1" t="str">
        <f t="shared" si="2"/>
        <v>Acima de +1%</v>
      </c>
      <c r="AF36" t="str">
        <f t="shared" si="3"/>
        <v>Acima de 34%</v>
      </c>
      <c r="AG36" t="str">
        <f t="shared" si="4"/>
        <v>Acima de 41%</v>
      </c>
      <c r="AH36" s="1"/>
    </row>
    <row r="37" spans="1:34" x14ac:dyDescent="0.45">
      <c r="A37" t="s">
        <v>124</v>
      </c>
      <c r="B37" t="s">
        <v>125</v>
      </c>
      <c r="C37" s="13">
        <v>45817</v>
      </c>
      <c r="D37" t="s">
        <v>34</v>
      </c>
      <c r="E37" t="s">
        <v>30</v>
      </c>
      <c r="F37">
        <v>672</v>
      </c>
      <c r="G37">
        <v>284567</v>
      </c>
      <c r="H37" s="1">
        <v>0.11799999999999999</v>
      </c>
      <c r="I37">
        <v>3515</v>
      </c>
      <c r="J37">
        <v>68283</v>
      </c>
      <c r="K37" s="10">
        <v>0.36699999999999999</v>
      </c>
      <c r="L37">
        <v>22</v>
      </c>
      <c r="M37">
        <v>101611</v>
      </c>
      <c r="O37">
        <v>277165</v>
      </c>
      <c r="P37">
        <v>257284</v>
      </c>
      <c r="Q37" s="1">
        <v>0.2</v>
      </c>
      <c r="R37" s="1">
        <v>0.2</v>
      </c>
      <c r="S37" s="1">
        <v>0.40600000000000003</v>
      </c>
      <c r="T37" s="1">
        <v>0.35399999999999998</v>
      </c>
      <c r="U37">
        <v>18584</v>
      </c>
      <c r="V37" s="1">
        <v>0.10100000000000001</v>
      </c>
      <c r="W37">
        <v>5356</v>
      </c>
      <c r="X37" s="1">
        <v>0.01</v>
      </c>
      <c r="Y37" s="1">
        <f>(O37-P37)/O37</f>
        <v>7.1729836018256277E-2</v>
      </c>
      <c r="Z37" s="2">
        <f>P37/M37</f>
        <v>2.5320486955152495</v>
      </c>
      <c r="AA37" s="13">
        <f t="shared" si="0"/>
        <v>45809</v>
      </c>
      <c r="AB37" t="str">
        <f>IF(X37&gt;=0.5,"Faixa 1",IF(X37=0,"Faixa 3","Faixa 2"))</f>
        <v>Faixa 2</v>
      </c>
      <c r="AC37">
        <v>1</v>
      </c>
      <c r="AD37" t="str">
        <f t="shared" si="1"/>
        <v>2025-2T</v>
      </c>
      <c r="AE37" s="1" t="str">
        <f t="shared" si="2"/>
        <v>Até +0,5%</v>
      </c>
      <c r="AF37" t="str">
        <f t="shared" si="3"/>
        <v>Acima de 34%</v>
      </c>
      <c r="AG37" t="str">
        <f t="shared" si="4"/>
        <v>Ate 41%</v>
      </c>
      <c r="AH37" s="1"/>
    </row>
    <row r="38" spans="1:34" x14ac:dyDescent="0.45">
      <c r="A38" t="s">
        <v>126</v>
      </c>
      <c r="B38" t="s">
        <v>127</v>
      </c>
      <c r="C38" s="13">
        <v>45817</v>
      </c>
      <c r="D38" t="s">
        <v>29</v>
      </c>
      <c r="E38" t="s">
        <v>30</v>
      </c>
      <c r="F38">
        <v>520</v>
      </c>
      <c r="G38">
        <v>225538</v>
      </c>
      <c r="H38" s="1">
        <v>0.105</v>
      </c>
      <c r="I38">
        <v>369</v>
      </c>
      <c r="J38">
        <v>53037</v>
      </c>
      <c r="K38" s="10">
        <v>0.46200000000000002</v>
      </c>
      <c r="L38">
        <v>11</v>
      </c>
      <c r="M38">
        <v>101995</v>
      </c>
      <c r="O38">
        <v>220758</v>
      </c>
      <c r="P38">
        <v>199514</v>
      </c>
      <c r="Q38" s="1">
        <v>0.2</v>
      </c>
      <c r="R38" s="1">
        <v>0.2</v>
      </c>
      <c r="S38" s="1">
        <v>0.36899999999999999</v>
      </c>
      <c r="T38" s="1">
        <v>0.29699999999999999</v>
      </c>
      <c r="U38">
        <v>8949</v>
      </c>
      <c r="V38" s="1">
        <v>6.9000000000000006E-2</v>
      </c>
      <c r="W38">
        <v>3381</v>
      </c>
      <c r="X38" s="1">
        <v>0.40799999999999997</v>
      </c>
      <c r="Y38" s="1">
        <f>(O38-P38)/O38</f>
        <v>9.6232073129852602E-2</v>
      </c>
      <c r="Z38" s="2">
        <f>P38/M38</f>
        <v>1.9561154958576401</v>
      </c>
      <c r="AA38" s="13">
        <f t="shared" si="0"/>
        <v>45809</v>
      </c>
      <c r="AB38" t="str">
        <f>IF(X38&gt;=0.5,"Faixa 1",IF(X38=0,"Faixa 3","Faixa 2"))</f>
        <v>Faixa 2</v>
      </c>
      <c r="AC38">
        <v>1</v>
      </c>
      <c r="AD38" t="str">
        <f t="shared" si="1"/>
        <v>2025-2T</v>
      </c>
      <c r="AE38" s="1" t="str">
        <f t="shared" si="2"/>
        <v>Até +0,5%</v>
      </c>
      <c r="AF38" t="str">
        <f t="shared" si="3"/>
        <v>Ate 32%</v>
      </c>
      <c r="AG38" t="str">
        <f t="shared" si="4"/>
        <v>Ate 39%</v>
      </c>
      <c r="AH38" s="1"/>
    </row>
    <row r="39" spans="1:34" x14ac:dyDescent="0.45">
      <c r="A39" t="s">
        <v>128</v>
      </c>
      <c r="B39" t="s">
        <v>105</v>
      </c>
      <c r="C39" s="13">
        <v>45821</v>
      </c>
      <c r="D39" t="s">
        <v>130</v>
      </c>
      <c r="E39" t="s">
        <v>30</v>
      </c>
      <c r="F39">
        <v>414</v>
      </c>
      <c r="G39">
        <v>211860</v>
      </c>
      <c r="H39" s="1">
        <v>5.7000000000000002E-2</v>
      </c>
      <c r="I39">
        <v>487</v>
      </c>
      <c r="J39">
        <v>36788</v>
      </c>
      <c r="K39" s="10">
        <v>0.42299999999999999</v>
      </c>
      <c r="L39">
        <v>12</v>
      </c>
      <c r="M39">
        <v>88860</v>
      </c>
      <c r="O39">
        <v>210092</v>
      </c>
      <c r="P39">
        <v>187886</v>
      </c>
      <c r="Q39" s="1">
        <v>0.20100000000000001</v>
      </c>
      <c r="R39" s="1">
        <v>0.2</v>
      </c>
      <c r="S39" s="1">
        <v>0.38700000000000001</v>
      </c>
      <c r="T39" s="1">
        <v>0.308</v>
      </c>
      <c r="U39">
        <v>15243</v>
      </c>
      <c r="V39" s="1">
        <v>0.17499999999999999</v>
      </c>
      <c r="W39">
        <v>3270</v>
      </c>
      <c r="X39" s="1">
        <v>0.47199999999999998</v>
      </c>
      <c r="Y39" s="1">
        <f>(O39-P39)/O39</f>
        <v>0.10569655198674867</v>
      </c>
      <c r="Z39" s="2">
        <f>P39/M39</f>
        <v>2.1144046815214943</v>
      </c>
      <c r="AA39" s="13">
        <f t="shared" si="0"/>
        <v>45809</v>
      </c>
      <c r="AB39" t="str">
        <f>IF(X39&gt;=0.5,"Faixa 1",IF(X39=0,"Faixa 3","Faixa 2"))</f>
        <v>Faixa 2</v>
      </c>
      <c r="AC39">
        <v>1</v>
      </c>
      <c r="AD39" t="str">
        <f t="shared" si="1"/>
        <v>2025-2T</v>
      </c>
      <c r="AE39" s="1" t="str">
        <f t="shared" si="2"/>
        <v>Até +0,5%</v>
      </c>
      <c r="AF39" t="str">
        <f t="shared" si="3"/>
        <v>Ate 32%</v>
      </c>
      <c r="AG39" t="str">
        <f t="shared" si="4"/>
        <v>Ate 39%</v>
      </c>
      <c r="AH39" s="1"/>
    </row>
    <row r="40" spans="1:34" x14ac:dyDescent="0.45">
      <c r="A40" t="s">
        <v>131</v>
      </c>
      <c r="B40" t="s">
        <v>132</v>
      </c>
      <c r="C40" s="13">
        <v>45821</v>
      </c>
      <c r="D40" t="s">
        <v>29</v>
      </c>
      <c r="E40" t="s">
        <v>30</v>
      </c>
      <c r="F40">
        <v>965</v>
      </c>
      <c r="G40">
        <v>229756</v>
      </c>
      <c r="H40" s="1">
        <v>8.900000000000001E-2</v>
      </c>
      <c r="I40">
        <v>1392</v>
      </c>
      <c r="J40">
        <v>94962</v>
      </c>
      <c r="K40" s="10">
        <v>0.435</v>
      </c>
      <c r="L40">
        <v>18</v>
      </c>
      <c r="M40">
        <v>98406</v>
      </c>
      <c r="O40">
        <v>226156</v>
      </c>
      <c r="P40">
        <v>204806</v>
      </c>
      <c r="Q40" s="1">
        <v>0.20100000000000001</v>
      </c>
      <c r="R40" s="1">
        <v>0.2</v>
      </c>
      <c r="S40" s="1">
        <v>0.39500000000000002</v>
      </c>
      <c r="T40" s="1">
        <v>0.32500000000000001</v>
      </c>
      <c r="U40">
        <v>16691</v>
      </c>
      <c r="V40" s="1">
        <v>6.7000000000000004E-2</v>
      </c>
      <c r="W40">
        <v>3091</v>
      </c>
      <c r="X40" s="1">
        <v>0.38100000000000001</v>
      </c>
      <c r="Y40" s="1">
        <f>(O40-P40)/O40</f>
        <v>9.4403862820354095E-2</v>
      </c>
      <c r="Z40" s="2">
        <f>P40/M40</f>
        <v>2.0812348840517854</v>
      </c>
      <c r="AA40" s="13">
        <f t="shared" si="0"/>
        <v>45809</v>
      </c>
      <c r="AB40" t="str">
        <f>IF(X40&gt;=0.5,"Faixa 1",IF(X40=0,"Faixa 3","Faixa 2"))</f>
        <v>Faixa 2</v>
      </c>
      <c r="AC40">
        <v>1</v>
      </c>
      <c r="AD40" t="str">
        <f t="shared" si="1"/>
        <v>2025-2T</v>
      </c>
      <c r="AE40" s="1" t="str">
        <f t="shared" si="2"/>
        <v>Até +0,5%</v>
      </c>
      <c r="AF40" t="str">
        <f t="shared" si="3"/>
        <v>Ate 34%</v>
      </c>
      <c r="AG40" t="str">
        <f t="shared" si="4"/>
        <v>Ate 41%</v>
      </c>
      <c r="AH40" s="1"/>
    </row>
    <row r="41" spans="1:34" x14ac:dyDescent="0.45">
      <c r="A41" t="s">
        <v>133</v>
      </c>
      <c r="B41" t="s">
        <v>134</v>
      </c>
      <c r="C41" s="13">
        <v>45825</v>
      </c>
      <c r="D41" t="s">
        <v>136</v>
      </c>
      <c r="E41" t="s">
        <v>30</v>
      </c>
      <c r="F41">
        <v>707</v>
      </c>
      <c r="G41">
        <v>277595</v>
      </c>
      <c r="H41" s="1">
        <v>0.127</v>
      </c>
      <c r="I41">
        <v>5273</v>
      </c>
      <c r="J41">
        <v>70183</v>
      </c>
      <c r="K41" s="10">
        <v>0.38800000000000001</v>
      </c>
      <c r="L41">
        <v>22</v>
      </c>
      <c r="M41">
        <v>99269</v>
      </c>
      <c r="O41">
        <v>255663</v>
      </c>
      <c r="P41">
        <v>247267</v>
      </c>
      <c r="Q41" s="1">
        <v>0.2</v>
      </c>
      <c r="R41" s="1">
        <v>0.2</v>
      </c>
      <c r="S41" s="1">
        <v>0.377</v>
      </c>
      <c r="T41" s="1">
        <v>0.35299999999999998</v>
      </c>
      <c r="U41">
        <v>22565</v>
      </c>
      <c r="V41" s="1">
        <v>0.114</v>
      </c>
      <c r="W41">
        <v>4495</v>
      </c>
      <c r="X41" s="1">
        <v>0.13</v>
      </c>
      <c r="Y41" s="1">
        <f>(O41-P41)/O41</f>
        <v>3.2840105920684648E-2</v>
      </c>
      <c r="Z41" s="2">
        <f>P41/M41</f>
        <v>2.4908783205230232</v>
      </c>
      <c r="AA41" s="13">
        <f t="shared" si="0"/>
        <v>45809</v>
      </c>
      <c r="AB41" t="str">
        <f>IF(X41&gt;=0.5,"Faixa 1",IF(X41=0,"Faixa 3","Faixa 2"))</f>
        <v>Faixa 2</v>
      </c>
      <c r="AC41">
        <v>1</v>
      </c>
      <c r="AD41" t="str">
        <f t="shared" si="1"/>
        <v>2025-2T</v>
      </c>
      <c r="AE41" s="1" t="str">
        <f t="shared" si="2"/>
        <v>Até +0,5%</v>
      </c>
      <c r="AF41" t="str">
        <f t="shared" si="3"/>
        <v>Acima de 34%</v>
      </c>
      <c r="AG41" t="str">
        <f t="shared" si="4"/>
        <v>Ate 39%</v>
      </c>
      <c r="AH41" s="1"/>
    </row>
    <row r="42" spans="1:34" x14ac:dyDescent="0.45">
      <c r="A42" t="s">
        <v>137</v>
      </c>
      <c r="B42" t="s">
        <v>138</v>
      </c>
      <c r="C42" s="13">
        <v>45831</v>
      </c>
      <c r="D42" t="s">
        <v>29</v>
      </c>
      <c r="E42" t="s">
        <v>30</v>
      </c>
      <c r="F42">
        <v>585</v>
      </c>
      <c r="G42">
        <v>240720</v>
      </c>
      <c r="H42" s="1">
        <v>6.8000000000000005E-2</v>
      </c>
      <c r="I42">
        <v>629</v>
      </c>
      <c r="J42">
        <v>62152</v>
      </c>
      <c r="K42" s="10">
        <v>0.45900000000000002</v>
      </c>
      <c r="L42">
        <v>19</v>
      </c>
      <c r="M42">
        <v>106243</v>
      </c>
      <c r="O42">
        <v>231351</v>
      </c>
      <c r="P42">
        <v>207587</v>
      </c>
      <c r="Q42" s="1">
        <v>0.20100000000000001</v>
      </c>
      <c r="R42" s="1">
        <v>0.2</v>
      </c>
      <c r="S42" s="1">
        <v>0.38</v>
      </c>
      <c r="T42" s="1">
        <v>0.30599999999999999</v>
      </c>
      <c r="U42">
        <v>16666</v>
      </c>
      <c r="V42" s="1">
        <v>0.11</v>
      </c>
      <c r="W42">
        <v>3238</v>
      </c>
      <c r="X42" s="1">
        <v>0.34</v>
      </c>
      <c r="Y42" s="1">
        <f>(O42-P42)/O42</f>
        <v>0.10271838029660559</v>
      </c>
      <c r="Z42" s="2">
        <f>P42/M42</f>
        <v>1.953888726786706</v>
      </c>
      <c r="AA42" s="13">
        <f t="shared" si="0"/>
        <v>45809</v>
      </c>
      <c r="AB42" t="str">
        <f>IF(X42&gt;=0.5,"Faixa 1",IF(X42=0,"Faixa 3","Faixa 2"))</f>
        <v>Faixa 2</v>
      </c>
      <c r="AC42">
        <v>1</v>
      </c>
      <c r="AD42" t="str">
        <f t="shared" si="1"/>
        <v>2025-2T</v>
      </c>
      <c r="AE42" s="1" t="str">
        <f t="shared" si="2"/>
        <v>Até +0,5%</v>
      </c>
      <c r="AF42" t="str">
        <f t="shared" si="3"/>
        <v>Ate 32%</v>
      </c>
      <c r="AG42" t="str">
        <f t="shared" si="4"/>
        <v>Ate 39%</v>
      </c>
      <c r="AH42" s="1"/>
    </row>
    <row r="43" spans="1:34" x14ac:dyDescent="0.45">
      <c r="A43" t="s">
        <v>140</v>
      </c>
      <c r="B43" t="s">
        <v>141</v>
      </c>
      <c r="C43" s="13">
        <v>45831</v>
      </c>
      <c r="D43" t="s">
        <v>136</v>
      </c>
      <c r="E43" t="s">
        <v>30</v>
      </c>
      <c r="F43">
        <v>499</v>
      </c>
      <c r="G43">
        <v>225030</v>
      </c>
      <c r="H43" s="1">
        <v>3.7000000000000012E-2</v>
      </c>
      <c r="I43">
        <v>422</v>
      </c>
      <c r="J43">
        <v>51052</v>
      </c>
      <c r="K43" s="10">
        <v>0.45400000000000001</v>
      </c>
      <c r="L43">
        <v>20</v>
      </c>
      <c r="M43">
        <v>102308</v>
      </c>
      <c r="O43">
        <v>225244</v>
      </c>
      <c r="P43">
        <v>203723</v>
      </c>
      <c r="Q43" s="1">
        <v>0.221</v>
      </c>
      <c r="R43" s="1">
        <v>0.2</v>
      </c>
      <c r="S43" s="1">
        <v>0.40899999999999997</v>
      </c>
      <c r="T43" s="1">
        <v>0.33800000000000002</v>
      </c>
      <c r="U43">
        <v>13826</v>
      </c>
      <c r="V43" s="1">
        <v>0.113</v>
      </c>
      <c r="W43">
        <v>3200</v>
      </c>
      <c r="X43" s="1">
        <v>0.375</v>
      </c>
      <c r="Y43" s="1">
        <f>(O43-P43)/O43</f>
        <v>9.5545275345847169E-2</v>
      </c>
      <c r="Z43" s="2">
        <f>P43/M43</f>
        <v>1.9912714548226922</v>
      </c>
      <c r="AA43" s="13">
        <f t="shared" si="0"/>
        <v>45809</v>
      </c>
      <c r="AB43" t="str">
        <f>IF(X43&gt;=0.5,"Faixa 1",IF(X43=0,"Faixa 3","Faixa 2"))</f>
        <v>Faixa 2</v>
      </c>
      <c r="AC43">
        <v>1</v>
      </c>
      <c r="AD43" t="str">
        <f t="shared" si="1"/>
        <v>2025-2T</v>
      </c>
      <c r="AE43" s="1" t="str">
        <f t="shared" si="2"/>
        <v>Acima de +1%</v>
      </c>
      <c r="AF43" t="str">
        <f t="shared" si="3"/>
        <v>Ate 34%</v>
      </c>
      <c r="AG43" t="str">
        <f t="shared" si="4"/>
        <v>Ate 41%</v>
      </c>
      <c r="AH43" s="1"/>
    </row>
    <row r="44" spans="1:34" x14ac:dyDescent="0.45">
      <c r="A44" t="s">
        <v>142</v>
      </c>
      <c r="B44" t="s">
        <v>143</v>
      </c>
      <c r="C44" s="13">
        <v>45831</v>
      </c>
      <c r="D44" t="s">
        <v>144</v>
      </c>
      <c r="E44" t="s">
        <v>30</v>
      </c>
      <c r="F44">
        <v>494</v>
      </c>
      <c r="G44">
        <v>240000</v>
      </c>
      <c r="H44" s="1">
        <v>8.6999999999999994E-2</v>
      </c>
      <c r="I44">
        <v>2063</v>
      </c>
      <c r="J44">
        <v>48751</v>
      </c>
      <c r="K44" s="10">
        <v>0.42099999999999999</v>
      </c>
      <c r="L44">
        <v>18</v>
      </c>
      <c r="M44">
        <v>98687</v>
      </c>
      <c r="O44">
        <v>234192</v>
      </c>
      <c r="P44">
        <v>209483</v>
      </c>
      <c r="Q44" s="1">
        <v>0.20200000000000001</v>
      </c>
      <c r="R44" s="1">
        <v>0.2</v>
      </c>
      <c r="S44" s="1">
        <v>0.40200000000000002</v>
      </c>
      <c r="T44" s="1">
        <v>0.32400000000000001</v>
      </c>
      <c r="U44">
        <v>15647</v>
      </c>
      <c r="V44" s="1">
        <v>0.128</v>
      </c>
      <c r="W44">
        <v>3598</v>
      </c>
      <c r="X44" s="1">
        <v>0.25</v>
      </c>
      <c r="Y44" s="1">
        <f>(O44-P44)/O44</f>
        <v>0.1055074468811915</v>
      </c>
      <c r="Z44" s="2">
        <f>P44/M44</f>
        <v>2.1227010649832296</v>
      </c>
      <c r="AA44" s="13">
        <f t="shared" si="0"/>
        <v>45809</v>
      </c>
      <c r="AB44" t="str">
        <f>IF(X44&gt;=0.5,"Faixa 1",IF(X44=0,"Faixa 3","Faixa 2"))</f>
        <v>Faixa 2</v>
      </c>
      <c r="AC44">
        <v>1</v>
      </c>
      <c r="AD44" t="str">
        <f t="shared" si="1"/>
        <v>2025-2T</v>
      </c>
      <c r="AE44" s="1" t="str">
        <f t="shared" si="2"/>
        <v>Até +0,5%</v>
      </c>
      <c r="AF44" t="str">
        <f t="shared" si="3"/>
        <v>Ate 34%</v>
      </c>
      <c r="AG44" t="str">
        <f t="shared" si="4"/>
        <v>Ate 41%</v>
      </c>
      <c r="AH44" s="1"/>
    </row>
    <row r="45" spans="1:34" x14ac:dyDescent="0.45">
      <c r="A45" t="s">
        <v>145</v>
      </c>
      <c r="B45" t="s">
        <v>146</v>
      </c>
      <c r="C45" s="13">
        <v>45831</v>
      </c>
      <c r="D45" t="s">
        <v>29</v>
      </c>
      <c r="E45" t="s">
        <v>30</v>
      </c>
      <c r="F45">
        <v>390</v>
      </c>
      <c r="G45">
        <v>194421</v>
      </c>
      <c r="H45" s="1">
        <v>0.09</v>
      </c>
      <c r="I45">
        <v>473</v>
      </c>
      <c r="J45">
        <v>31902</v>
      </c>
      <c r="K45" s="10">
        <v>0.40799999999999997</v>
      </c>
      <c r="L45">
        <v>13</v>
      </c>
      <c r="M45">
        <v>81800</v>
      </c>
      <c r="O45">
        <v>200735</v>
      </c>
      <c r="P45">
        <v>176775</v>
      </c>
      <c r="Q45" s="1">
        <v>0.22900000000000001</v>
      </c>
      <c r="R45" s="1">
        <v>0.2</v>
      </c>
      <c r="S45" s="1">
        <v>0.43700000000000011</v>
      </c>
      <c r="T45" s="1">
        <v>0.35399999999999998</v>
      </c>
      <c r="U45">
        <v>13248</v>
      </c>
      <c r="V45" s="1">
        <v>0.156</v>
      </c>
      <c r="W45">
        <v>2889</v>
      </c>
      <c r="X45" s="1">
        <v>0.65500000000000003</v>
      </c>
      <c r="Y45" s="1">
        <f>(O45-P45)/O45</f>
        <v>0.11936134704959275</v>
      </c>
      <c r="Z45" s="2">
        <f>P45/M45</f>
        <v>2.1610635696821516</v>
      </c>
      <c r="AA45" s="13">
        <f t="shared" si="0"/>
        <v>45809</v>
      </c>
      <c r="AB45" t="str">
        <f>IF(X45&gt;=0.5,"Faixa 1",IF(X45=0,"Faixa 3","Faixa 2"))</f>
        <v>Faixa 1</v>
      </c>
      <c r="AC45">
        <v>1</v>
      </c>
      <c r="AD45" t="str">
        <f t="shared" si="1"/>
        <v>2025-2T</v>
      </c>
      <c r="AE45" s="1" t="str">
        <f t="shared" si="2"/>
        <v>Acima de +1%</v>
      </c>
      <c r="AF45" t="str">
        <f t="shared" si="3"/>
        <v>Acima de 34%</v>
      </c>
      <c r="AG45" t="str">
        <f t="shared" si="4"/>
        <v>Acima de 41%</v>
      </c>
      <c r="AH45" s="1"/>
    </row>
    <row r="46" spans="1:34" x14ac:dyDescent="0.45">
      <c r="A46" t="s">
        <v>147</v>
      </c>
      <c r="B46" t="s">
        <v>148</v>
      </c>
      <c r="C46" s="13">
        <v>45831</v>
      </c>
      <c r="D46" t="s">
        <v>29</v>
      </c>
      <c r="E46" t="s">
        <v>30</v>
      </c>
      <c r="F46">
        <v>537</v>
      </c>
      <c r="G46">
        <v>244855</v>
      </c>
      <c r="H46" s="1">
        <v>9.1999999999999998E-2</v>
      </c>
      <c r="I46">
        <v>1128</v>
      </c>
      <c r="J46">
        <v>56271</v>
      </c>
      <c r="K46" s="10">
        <v>0.44800000000000001</v>
      </c>
      <c r="L46">
        <v>19</v>
      </c>
      <c r="M46">
        <v>104788</v>
      </c>
      <c r="O46">
        <v>210192</v>
      </c>
      <c r="P46">
        <v>210192</v>
      </c>
      <c r="Q46" s="1">
        <v>0.17699999999999999</v>
      </c>
      <c r="R46" s="1">
        <v>0.2</v>
      </c>
      <c r="S46" s="1">
        <v>0.36699999999999999</v>
      </c>
      <c r="T46" s="1">
        <v>0.28899999999999998</v>
      </c>
      <c r="U46">
        <v>17934</v>
      </c>
      <c r="V46" s="1">
        <v>0.13100000000000001</v>
      </c>
      <c r="W46">
        <v>3377</v>
      </c>
      <c r="X46" s="1">
        <v>0.374</v>
      </c>
      <c r="Y46" s="1">
        <f>(O46-P46)/O46</f>
        <v>0</v>
      </c>
      <c r="Z46" s="2">
        <f>P46/M46</f>
        <v>2.0058785357101958</v>
      </c>
      <c r="AA46" s="13">
        <f t="shared" si="0"/>
        <v>45809</v>
      </c>
      <c r="AB46" t="str">
        <f>IF(X46&gt;=0.5,"Faixa 1",IF(X46=0,"Faixa 3","Faixa 2"))</f>
        <v>Faixa 2</v>
      </c>
      <c r="AC46">
        <v>1</v>
      </c>
      <c r="AD46" t="str">
        <f t="shared" si="1"/>
        <v>2025-2T</v>
      </c>
      <c r="AE46" s="1" t="str">
        <f t="shared" si="2"/>
        <v>Até +0,5%</v>
      </c>
      <c r="AF46" t="str">
        <f t="shared" si="3"/>
        <v>Ate 32%</v>
      </c>
      <c r="AG46" t="str">
        <f t="shared" si="4"/>
        <v>Ate 39%</v>
      </c>
      <c r="AH46" s="1"/>
    </row>
    <row r="47" spans="1:34" x14ac:dyDescent="0.45">
      <c r="A47" t="s">
        <v>149</v>
      </c>
      <c r="B47" t="s">
        <v>150</v>
      </c>
      <c r="C47" s="13">
        <v>45831</v>
      </c>
      <c r="D47" t="s">
        <v>60</v>
      </c>
      <c r="E47" t="s">
        <v>30</v>
      </c>
      <c r="F47">
        <v>355</v>
      </c>
      <c r="G47">
        <v>210690</v>
      </c>
      <c r="H47" s="1">
        <v>5.7000000000000002E-2</v>
      </c>
      <c r="I47">
        <v>436</v>
      </c>
      <c r="J47">
        <v>31880</v>
      </c>
      <c r="K47" s="10">
        <v>0.436</v>
      </c>
      <c r="L47">
        <v>11</v>
      </c>
      <c r="M47">
        <v>89802</v>
      </c>
      <c r="O47">
        <v>206201</v>
      </c>
      <c r="P47">
        <v>185049</v>
      </c>
      <c r="Q47" s="1">
        <v>0.20499999999999999</v>
      </c>
      <c r="R47" s="1">
        <v>0.2</v>
      </c>
      <c r="S47" s="1">
        <v>0.39900000000000002</v>
      </c>
      <c r="T47" s="1">
        <v>0.34899999999999998</v>
      </c>
      <c r="U47">
        <v>14765</v>
      </c>
      <c r="V47" s="1">
        <v>0.2</v>
      </c>
      <c r="W47">
        <v>2712</v>
      </c>
      <c r="X47" s="1">
        <v>0.40799999999999997</v>
      </c>
      <c r="Y47" s="1">
        <f>(O47-P47)/O47</f>
        <v>0.10257952192278408</v>
      </c>
      <c r="Z47" s="2">
        <f>P47/M47</f>
        <v>2.0606333934656242</v>
      </c>
      <c r="AA47" s="13">
        <f t="shared" si="0"/>
        <v>45809</v>
      </c>
      <c r="AB47" t="str">
        <f>IF(X47&gt;=0.5,"Faixa 1",IF(X47=0,"Faixa 3","Faixa 2"))</f>
        <v>Faixa 2</v>
      </c>
      <c r="AC47">
        <v>1</v>
      </c>
      <c r="AD47" t="str">
        <f t="shared" si="1"/>
        <v>2025-2T</v>
      </c>
      <c r="AE47" s="1" t="str">
        <f t="shared" si="2"/>
        <v>Até +0,5%</v>
      </c>
      <c r="AF47" t="str">
        <f t="shared" si="3"/>
        <v>Acima de 34%</v>
      </c>
      <c r="AG47" t="str">
        <f t="shared" si="4"/>
        <v>Ate 41%</v>
      </c>
      <c r="AH47" s="1"/>
    </row>
    <row r="48" spans="1:34" x14ac:dyDescent="0.45">
      <c r="A48" t="s">
        <v>151</v>
      </c>
      <c r="B48" t="s">
        <v>152</v>
      </c>
      <c r="C48" s="13">
        <v>45831</v>
      </c>
      <c r="D48" t="s">
        <v>136</v>
      </c>
      <c r="E48" t="s">
        <v>30</v>
      </c>
      <c r="F48">
        <v>944</v>
      </c>
      <c r="G48">
        <v>248814</v>
      </c>
      <c r="H48" s="1">
        <v>5.5999999999999987E-2</v>
      </c>
      <c r="I48">
        <v>2101</v>
      </c>
      <c r="J48">
        <v>98225</v>
      </c>
      <c r="K48" s="10">
        <v>0.42799999999999999</v>
      </c>
      <c r="L48">
        <v>21</v>
      </c>
      <c r="M48">
        <v>104051</v>
      </c>
      <c r="O48">
        <v>242978</v>
      </c>
      <c r="P48">
        <v>215722</v>
      </c>
      <c r="Q48" s="1">
        <v>0.20100000000000001</v>
      </c>
      <c r="R48" s="1">
        <v>0.2</v>
      </c>
      <c r="S48" s="1">
        <v>0.41</v>
      </c>
      <c r="T48" s="1">
        <v>0.32600000000000001</v>
      </c>
      <c r="U48">
        <v>17136</v>
      </c>
      <c r="V48" s="1">
        <v>6.7000000000000004E-2</v>
      </c>
      <c r="W48">
        <v>3551</v>
      </c>
      <c r="X48" s="1">
        <v>0.193</v>
      </c>
      <c r="Y48" s="1">
        <f>(O48-P48)/O48</f>
        <v>0.1121747647935204</v>
      </c>
      <c r="Z48" s="2">
        <f>P48/M48</f>
        <v>2.0732333182766145</v>
      </c>
      <c r="AA48" s="13">
        <f t="shared" si="0"/>
        <v>45809</v>
      </c>
      <c r="AB48" t="str">
        <f>IF(X48&gt;=0.5,"Faixa 1",IF(X48=0,"Faixa 3","Faixa 2"))</f>
        <v>Faixa 2</v>
      </c>
      <c r="AC48">
        <v>1</v>
      </c>
      <c r="AD48" t="str">
        <f t="shared" si="1"/>
        <v>2025-2T</v>
      </c>
      <c r="AE48" s="1" t="str">
        <f t="shared" si="2"/>
        <v>Até +0,5%</v>
      </c>
      <c r="AF48" t="str">
        <f t="shared" si="3"/>
        <v>Ate 34%</v>
      </c>
      <c r="AG48" t="str">
        <f t="shared" si="4"/>
        <v>Ate 41%</v>
      </c>
      <c r="AH48" s="1"/>
    </row>
    <row r="49" spans="1:34" x14ac:dyDescent="0.45">
      <c r="A49" t="s">
        <v>153</v>
      </c>
      <c r="B49" t="s">
        <v>154</v>
      </c>
      <c r="C49" s="13">
        <v>45831</v>
      </c>
      <c r="D49" t="s">
        <v>144</v>
      </c>
      <c r="E49" t="s">
        <v>30</v>
      </c>
      <c r="F49">
        <v>1946</v>
      </c>
      <c r="G49">
        <v>240000</v>
      </c>
      <c r="H49" s="1">
        <v>7.5999999999999998E-2</v>
      </c>
      <c r="I49">
        <v>1168</v>
      </c>
      <c r="J49" s="6">
        <v>192986</v>
      </c>
      <c r="K49" s="10">
        <v>0.43200000000000011</v>
      </c>
      <c r="L49">
        <v>18</v>
      </c>
      <c r="M49">
        <v>99171</v>
      </c>
      <c r="O49">
        <v>229446</v>
      </c>
      <c r="P49">
        <v>204748</v>
      </c>
      <c r="Q49" s="1">
        <v>0.20399999999999999</v>
      </c>
      <c r="R49" s="1">
        <v>0.2</v>
      </c>
      <c r="S49" s="1">
        <v>0.40500000000000003</v>
      </c>
      <c r="T49" s="1">
        <v>0.32500000000000001</v>
      </c>
      <c r="U49">
        <v>18966</v>
      </c>
      <c r="V49" s="1">
        <v>3.5999999999999997E-2</v>
      </c>
      <c r="W49">
        <v>3698</v>
      </c>
      <c r="X49" s="1">
        <v>0.25</v>
      </c>
      <c r="Y49" s="1">
        <f>(O49-P49)/O49</f>
        <v>0.1076418852366134</v>
      </c>
      <c r="Z49" s="2">
        <f>P49/M49</f>
        <v>2.0645954966673723</v>
      </c>
      <c r="AA49" s="13">
        <f t="shared" si="0"/>
        <v>45809</v>
      </c>
      <c r="AB49" t="str">
        <f>IF(X49&gt;=0.5,"Faixa 1",IF(X49=0,"Faixa 3","Faixa 2"))</f>
        <v>Faixa 2</v>
      </c>
      <c r="AC49">
        <v>1</v>
      </c>
      <c r="AD49" t="str">
        <f t="shared" si="1"/>
        <v>2025-2T</v>
      </c>
      <c r="AE49" s="1" t="str">
        <f t="shared" si="2"/>
        <v>Até +0,5%</v>
      </c>
      <c r="AF49" t="str">
        <f t="shared" si="3"/>
        <v>Ate 34%</v>
      </c>
      <c r="AG49" t="str">
        <f t="shared" si="4"/>
        <v>Ate 41%</v>
      </c>
      <c r="AH49" s="1"/>
    </row>
    <row r="50" spans="1:34" x14ac:dyDescent="0.45">
      <c r="A50" t="s">
        <v>155</v>
      </c>
      <c r="B50" t="s">
        <v>156</v>
      </c>
      <c r="C50" s="13">
        <v>45834</v>
      </c>
      <c r="D50" t="s">
        <v>144</v>
      </c>
      <c r="E50" t="s">
        <v>30</v>
      </c>
      <c r="F50">
        <v>414</v>
      </c>
      <c r="G50">
        <v>240000</v>
      </c>
      <c r="H50" s="1">
        <v>4.2999999999999997E-2</v>
      </c>
      <c r="I50">
        <v>955</v>
      </c>
      <c r="J50">
        <v>42211</v>
      </c>
      <c r="K50" s="10">
        <v>0.434</v>
      </c>
      <c r="L50">
        <v>17</v>
      </c>
      <c r="M50">
        <v>101959</v>
      </c>
      <c r="O50">
        <v>234993</v>
      </c>
      <c r="P50">
        <v>209718</v>
      </c>
      <c r="Q50" s="1">
        <v>0.215</v>
      </c>
      <c r="R50" s="1">
        <v>0.2</v>
      </c>
      <c r="S50" s="1">
        <v>0.42</v>
      </c>
      <c r="T50" s="1">
        <v>0.34399999999999997</v>
      </c>
      <c r="U50">
        <v>16238</v>
      </c>
      <c r="V50" s="1">
        <v>0.154</v>
      </c>
      <c r="W50">
        <v>3499</v>
      </c>
      <c r="X50" s="1">
        <v>0.25</v>
      </c>
      <c r="Y50" s="1">
        <f>(O50-P50)/O50</f>
        <v>0.10755639529688119</v>
      </c>
      <c r="Z50" s="2">
        <f>P50/M50</f>
        <v>2.056885610882806</v>
      </c>
      <c r="AA50" s="13">
        <f t="shared" si="0"/>
        <v>45809</v>
      </c>
      <c r="AB50" t="str">
        <f>IF(X50&gt;=0.5,"Faixa 1",IF(X50=0,"Faixa 3","Faixa 2"))</f>
        <v>Faixa 2</v>
      </c>
      <c r="AC50">
        <v>1</v>
      </c>
      <c r="AD50" t="str">
        <f t="shared" si="1"/>
        <v>2025-2T</v>
      </c>
      <c r="AE50" s="1" t="str">
        <f t="shared" si="2"/>
        <v>Acima de +1%</v>
      </c>
      <c r="AF50" t="str">
        <f t="shared" si="3"/>
        <v>Acima de 34%</v>
      </c>
      <c r="AG50" t="str">
        <f t="shared" si="4"/>
        <v>Acima de 41%</v>
      </c>
      <c r="AH50" s="1"/>
    </row>
    <row r="51" spans="1:34" x14ac:dyDescent="0.45">
      <c r="A51" t="s">
        <v>158</v>
      </c>
      <c r="B51" t="s">
        <v>159</v>
      </c>
      <c r="C51" s="13">
        <v>45834</v>
      </c>
      <c r="D51" t="s">
        <v>29</v>
      </c>
      <c r="E51" t="s">
        <v>30</v>
      </c>
      <c r="F51">
        <v>427</v>
      </c>
      <c r="G51">
        <v>300000</v>
      </c>
      <c r="H51" s="1">
        <v>9.1999999999999998E-2</v>
      </c>
      <c r="I51">
        <v>1108</v>
      </c>
      <c r="J51">
        <v>45833</v>
      </c>
      <c r="K51" s="10">
        <v>0.41</v>
      </c>
      <c r="L51">
        <v>21</v>
      </c>
      <c r="M51">
        <v>107338</v>
      </c>
      <c r="O51">
        <v>261883</v>
      </c>
      <c r="P51">
        <v>239997</v>
      </c>
      <c r="Q51" s="1">
        <v>0.185</v>
      </c>
      <c r="R51" s="1">
        <v>0.2</v>
      </c>
      <c r="S51" s="1">
        <v>0.379</v>
      </c>
      <c r="T51" s="1">
        <v>0.32</v>
      </c>
      <c r="U51">
        <v>15834</v>
      </c>
      <c r="V51" s="1">
        <v>0.13100000000000001</v>
      </c>
      <c r="W51">
        <v>5059</v>
      </c>
      <c r="X51" s="1">
        <v>0</v>
      </c>
      <c r="Y51" s="1">
        <f>(O51-P51)/O51</f>
        <v>8.3571671318871402E-2</v>
      </c>
      <c r="Z51" s="2">
        <f>P51/M51</f>
        <v>2.2358996813803125</v>
      </c>
      <c r="AA51" s="13">
        <f t="shared" si="0"/>
        <v>45809</v>
      </c>
      <c r="AB51" t="str">
        <f>IF(X51&gt;=0.5,"Faixa 1",IF(X51=0,"Faixa 3","Faixa 2"))</f>
        <v>Faixa 3</v>
      </c>
      <c r="AC51">
        <v>1</v>
      </c>
      <c r="AD51" t="str">
        <f t="shared" si="1"/>
        <v>2025-2T</v>
      </c>
      <c r="AE51" s="1" t="str">
        <f t="shared" si="2"/>
        <v>Até +0,5%</v>
      </c>
      <c r="AF51" t="str">
        <f t="shared" si="3"/>
        <v>Ate 32%</v>
      </c>
      <c r="AG51" t="str">
        <f t="shared" si="4"/>
        <v>Ate 39%</v>
      </c>
      <c r="AH51" s="1"/>
    </row>
    <row r="52" spans="1:34" x14ac:dyDescent="0.45">
      <c r="A52" t="s">
        <v>160</v>
      </c>
      <c r="B52" t="s">
        <v>161</v>
      </c>
      <c r="C52" s="13">
        <v>45834</v>
      </c>
      <c r="D52" t="s">
        <v>163</v>
      </c>
      <c r="E52" t="s">
        <v>30</v>
      </c>
      <c r="F52">
        <v>751</v>
      </c>
      <c r="G52">
        <v>220746</v>
      </c>
      <c r="H52" s="1">
        <v>8.199999999999999E-2</v>
      </c>
      <c r="I52">
        <v>1507</v>
      </c>
      <c r="J52">
        <v>75957</v>
      </c>
      <c r="K52" s="10">
        <v>0.46200000000000002</v>
      </c>
      <c r="L52">
        <v>25</v>
      </c>
      <c r="M52">
        <v>101141</v>
      </c>
      <c r="O52">
        <v>218929</v>
      </c>
      <c r="P52">
        <v>202044</v>
      </c>
      <c r="Q52" s="1">
        <v>0.20499999999999999</v>
      </c>
      <c r="R52" s="1">
        <v>0.2</v>
      </c>
      <c r="S52" s="1">
        <v>0.36199999999999999</v>
      </c>
      <c r="T52" s="1">
        <v>0.30199999999999999</v>
      </c>
      <c r="U52">
        <v>12522</v>
      </c>
      <c r="V52" s="1">
        <v>7.0000000000000007E-2</v>
      </c>
      <c r="W52">
        <v>2796</v>
      </c>
      <c r="X52" s="1">
        <v>0.48099999999999998</v>
      </c>
      <c r="Y52" s="1">
        <f>(O52-P52)/O52</f>
        <v>7.7125460765819054E-2</v>
      </c>
      <c r="Z52" s="2">
        <f>P52/M52</f>
        <v>1.9976468494478006</v>
      </c>
      <c r="AA52" s="13">
        <f t="shared" si="0"/>
        <v>45809</v>
      </c>
      <c r="AB52" t="str">
        <f>IF(X52&gt;=0.5,"Faixa 1",IF(X52=0,"Faixa 3","Faixa 2"))</f>
        <v>Faixa 2</v>
      </c>
      <c r="AC52">
        <v>1</v>
      </c>
      <c r="AD52" t="str">
        <f t="shared" si="1"/>
        <v>2025-2T</v>
      </c>
      <c r="AE52" s="1" t="str">
        <f t="shared" si="2"/>
        <v>Até +0,5%</v>
      </c>
      <c r="AF52" t="str">
        <f t="shared" si="3"/>
        <v>Ate 32%</v>
      </c>
      <c r="AG52" t="str">
        <f t="shared" si="4"/>
        <v>Ate 39%</v>
      </c>
      <c r="AH52" s="1"/>
    </row>
    <row r="53" spans="1:34" x14ac:dyDescent="0.45">
      <c r="A53" t="s">
        <v>164</v>
      </c>
      <c r="B53" t="s">
        <v>165</v>
      </c>
      <c r="C53" s="13">
        <v>45834</v>
      </c>
      <c r="D53" t="s">
        <v>29</v>
      </c>
      <c r="E53" t="s">
        <v>30</v>
      </c>
      <c r="F53">
        <v>318</v>
      </c>
      <c r="G53">
        <v>191918</v>
      </c>
      <c r="H53" s="1">
        <v>7.400000000000001E-2</v>
      </c>
      <c r="I53">
        <v>565</v>
      </c>
      <c r="J53">
        <v>27462</v>
      </c>
      <c r="K53" s="10">
        <v>0.42799999999999999</v>
      </c>
      <c r="L53">
        <v>14</v>
      </c>
      <c r="M53">
        <v>86360</v>
      </c>
      <c r="O53">
        <v>201845</v>
      </c>
      <c r="P53">
        <v>179301</v>
      </c>
      <c r="Q53" s="1">
        <v>0.219</v>
      </c>
      <c r="R53" s="1">
        <v>0.2</v>
      </c>
      <c r="S53" s="1">
        <v>0.41399999999999998</v>
      </c>
      <c r="T53" s="1">
        <v>0.33300000000000002</v>
      </c>
      <c r="U53">
        <v>8041</v>
      </c>
      <c r="V53" s="1">
        <v>0.115</v>
      </c>
      <c r="W53">
        <v>2606</v>
      </c>
      <c r="X53" s="1">
        <v>0.68900000000000006</v>
      </c>
      <c r="Y53" s="1">
        <f>(O53-P53)/O53</f>
        <v>0.11168966286011543</v>
      </c>
      <c r="Z53" s="2">
        <f>P53/M53</f>
        <v>2.0762042612320517</v>
      </c>
      <c r="AA53" s="13">
        <f t="shared" si="0"/>
        <v>45809</v>
      </c>
      <c r="AB53" t="str">
        <f>IF(X53&gt;=0.5,"Faixa 1",IF(X53=0,"Faixa 3","Faixa 2"))</f>
        <v>Faixa 1</v>
      </c>
      <c r="AC53">
        <v>1</v>
      </c>
      <c r="AD53" t="str">
        <f t="shared" si="1"/>
        <v>2025-2T</v>
      </c>
      <c r="AE53" s="1" t="str">
        <f t="shared" si="2"/>
        <v>Acima de +1%</v>
      </c>
      <c r="AF53" t="str">
        <f t="shared" si="3"/>
        <v>Ate 34%</v>
      </c>
      <c r="AG53" t="str">
        <f t="shared" si="4"/>
        <v>Acima de 41%</v>
      </c>
      <c r="AH53" s="1"/>
    </row>
    <row r="54" spans="1:34" x14ac:dyDescent="0.45">
      <c r="A54" t="s">
        <v>166</v>
      </c>
      <c r="B54" t="s">
        <v>167</v>
      </c>
      <c r="C54" s="13">
        <v>45834</v>
      </c>
      <c r="D54" t="s">
        <v>168</v>
      </c>
      <c r="E54" t="s">
        <v>30</v>
      </c>
      <c r="F54">
        <v>2154</v>
      </c>
      <c r="G54">
        <v>225659</v>
      </c>
      <c r="H54" s="1">
        <v>7.400000000000001E-2</v>
      </c>
      <c r="I54">
        <v>1947</v>
      </c>
      <c r="J54" s="6">
        <v>213351</v>
      </c>
      <c r="K54" s="10">
        <v>0.44800000000000001</v>
      </c>
      <c r="L54">
        <v>24</v>
      </c>
      <c r="M54">
        <v>99049</v>
      </c>
      <c r="O54">
        <v>220996</v>
      </c>
      <c r="P54">
        <v>204180</v>
      </c>
      <c r="Q54" s="1">
        <v>0.21299999999999999</v>
      </c>
      <c r="R54" s="1">
        <v>0.2</v>
      </c>
      <c r="S54" s="1">
        <v>0.38</v>
      </c>
      <c r="T54" s="1">
        <v>0.32200000000000001</v>
      </c>
      <c r="U54">
        <v>20390</v>
      </c>
      <c r="V54" s="1">
        <v>3.4000000000000002E-2</v>
      </c>
      <c r="W54">
        <v>3397</v>
      </c>
      <c r="X54" s="1">
        <v>0.24199999999999999</v>
      </c>
      <c r="Y54" s="1">
        <f>(O54-P54)/O54</f>
        <v>7.6091874966062734E-2</v>
      </c>
      <c r="Z54" s="2">
        <f>P54/M54</f>
        <v>2.0614039515795213</v>
      </c>
      <c r="AA54" s="13">
        <f t="shared" si="0"/>
        <v>45809</v>
      </c>
      <c r="AB54" t="str">
        <f>IF(X54&gt;=0.5,"Faixa 1",IF(X54=0,"Faixa 3","Faixa 2"))</f>
        <v>Faixa 2</v>
      </c>
      <c r="AC54">
        <v>1</v>
      </c>
      <c r="AD54" t="str">
        <f t="shared" si="1"/>
        <v>2025-2T</v>
      </c>
      <c r="AE54" s="1" t="str">
        <f t="shared" si="2"/>
        <v>Acima de +1%</v>
      </c>
      <c r="AF54" t="str">
        <f t="shared" si="3"/>
        <v>Ate 34%</v>
      </c>
      <c r="AG54" t="str">
        <f t="shared" si="4"/>
        <v>Ate 39%</v>
      </c>
      <c r="AH54" s="1"/>
    </row>
    <row r="55" spans="1:34" x14ac:dyDescent="0.45">
      <c r="A55" t="s">
        <v>169</v>
      </c>
      <c r="B55" t="s">
        <v>170</v>
      </c>
      <c r="C55" s="13">
        <v>45838</v>
      </c>
      <c r="D55" t="s">
        <v>29</v>
      </c>
      <c r="E55" t="s">
        <v>30</v>
      </c>
      <c r="F55">
        <v>428</v>
      </c>
      <c r="G55">
        <v>290000</v>
      </c>
      <c r="H55" s="1">
        <v>0.105</v>
      </c>
      <c r="I55">
        <v>2846</v>
      </c>
      <c r="J55">
        <v>46758</v>
      </c>
      <c r="K55" s="10">
        <v>0.40899999999999997</v>
      </c>
      <c r="L55">
        <v>18</v>
      </c>
      <c r="M55">
        <v>109247</v>
      </c>
      <c r="O55">
        <v>266782</v>
      </c>
      <c r="P55">
        <v>246703</v>
      </c>
      <c r="Q55" s="1">
        <v>0.185</v>
      </c>
      <c r="R55" s="1">
        <v>0.2</v>
      </c>
      <c r="S55" s="1">
        <v>0.39600000000000002</v>
      </c>
      <c r="T55" s="1">
        <v>0.34100000000000003</v>
      </c>
      <c r="U55">
        <v>22248</v>
      </c>
      <c r="V55" s="1">
        <v>0.187</v>
      </c>
      <c r="W55">
        <v>5211</v>
      </c>
      <c r="X55" s="1">
        <v>0</v>
      </c>
      <c r="Y55" s="1">
        <f>(O55-P55)/O55</f>
        <v>7.5263698450420191E-2</v>
      </c>
      <c r="Z55" s="2">
        <f>P55/M55</f>
        <v>2.2582130401750162</v>
      </c>
      <c r="AA55" s="13">
        <f t="shared" si="0"/>
        <v>45809</v>
      </c>
      <c r="AB55" t="str">
        <f>IF(X55&gt;=0.5,"Faixa 1",IF(X55=0,"Faixa 3","Faixa 2"))</f>
        <v>Faixa 3</v>
      </c>
      <c r="AC55">
        <v>1</v>
      </c>
      <c r="AD55" t="str">
        <f t="shared" si="1"/>
        <v>2025-2T</v>
      </c>
      <c r="AE55" s="1" t="str">
        <f t="shared" si="2"/>
        <v>Até +0,5%</v>
      </c>
      <c r="AF55" t="str">
        <f t="shared" si="3"/>
        <v>Acima de 34%</v>
      </c>
      <c r="AG55" t="str">
        <f t="shared" si="4"/>
        <v>Ate 41%</v>
      </c>
      <c r="AH55" s="1"/>
    </row>
    <row r="56" spans="1:34" x14ac:dyDescent="0.45">
      <c r="A56" t="s">
        <v>172</v>
      </c>
      <c r="B56" t="s">
        <v>173</v>
      </c>
      <c r="C56" s="13">
        <v>45838</v>
      </c>
      <c r="D56" t="s">
        <v>29</v>
      </c>
      <c r="E56" t="s">
        <v>30</v>
      </c>
      <c r="F56">
        <v>357</v>
      </c>
      <c r="G56">
        <v>290000</v>
      </c>
      <c r="H56" s="1">
        <v>7.6999999999999999E-2</v>
      </c>
      <c r="I56">
        <v>721</v>
      </c>
      <c r="J56">
        <v>42262</v>
      </c>
      <c r="K56" s="10">
        <v>0.44600000000000001</v>
      </c>
      <c r="L56">
        <v>17</v>
      </c>
      <c r="M56">
        <v>118381</v>
      </c>
      <c r="O56">
        <v>265493</v>
      </c>
      <c r="P56">
        <v>244465</v>
      </c>
      <c r="Q56" s="1">
        <v>0.20100000000000001</v>
      </c>
      <c r="R56" s="1">
        <v>0.2</v>
      </c>
      <c r="S56" s="1">
        <v>0.38100000000000001</v>
      </c>
      <c r="T56" s="1">
        <v>0.32100000000000001</v>
      </c>
      <c r="U56">
        <v>11902</v>
      </c>
      <c r="V56" s="1">
        <v>0.112</v>
      </c>
      <c r="W56">
        <v>4904</v>
      </c>
      <c r="X56" s="1">
        <v>8.1000000000000003E-2</v>
      </c>
      <c r="Y56" s="1">
        <f>(O56-P56)/O56</f>
        <v>7.920359482170905E-2</v>
      </c>
      <c r="Z56" s="2">
        <f>P56/M56</f>
        <v>2.0650695635279308</v>
      </c>
      <c r="AA56" s="13">
        <f t="shared" si="0"/>
        <v>45809</v>
      </c>
      <c r="AB56" t="str">
        <f>IF(X56&gt;=0.5,"Faixa 1",IF(X56=0,"Faixa 3","Faixa 2"))</f>
        <v>Faixa 2</v>
      </c>
      <c r="AC56">
        <v>1</v>
      </c>
      <c r="AD56" t="str">
        <f t="shared" si="1"/>
        <v>2025-2T</v>
      </c>
      <c r="AE56" s="1" t="str">
        <f t="shared" si="2"/>
        <v>Até +0,5%</v>
      </c>
      <c r="AF56" t="str">
        <f t="shared" si="3"/>
        <v>Ate 34%</v>
      </c>
      <c r="AG56" t="str">
        <f t="shared" si="4"/>
        <v>Ate 39%</v>
      </c>
      <c r="AH56" s="1"/>
    </row>
    <row r="57" spans="1:34" x14ac:dyDescent="0.45">
      <c r="A57" t="s">
        <v>174</v>
      </c>
      <c r="B57" t="s">
        <v>175</v>
      </c>
      <c r="C57" s="13">
        <v>45838</v>
      </c>
      <c r="D57" t="s">
        <v>29</v>
      </c>
      <c r="E57" t="s">
        <v>30</v>
      </c>
      <c r="F57">
        <v>432</v>
      </c>
      <c r="G57">
        <v>221581</v>
      </c>
      <c r="H57" s="1">
        <v>0.09</v>
      </c>
      <c r="I57">
        <v>431</v>
      </c>
      <c r="J57">
        <v>43803</v>
      </c>
      <c r="K57" s="10">
        <v>0.46899999999999997</v>
      </c>
      <c r="L57">
        <v>11</v>
      </c>
      <c r="M57">
        <v>101395</v>
      </c>
      <c r="O57">
        <v>216050</v>
      </c>
      <c r="P57">
        <v>194800</v>
      </c>
      <c r="Q57" s="1">
        <v>0.20200000000000001</v>
      </c>
      <c r="R57" s="1">
        <v>0.2</v>
      </c>
      <c r="S57" s="1">
        <v>0.37200000000000011</v>
      </c>
      <c r="T57" s="1">
        <v>0.30599999999999999</v>
      </c>
      <c r="U57">
        <v>9597</v>
      </c>
      <c r="V57" s="1">
        <v>9.4E-2</v>
      </c>
      <c r="W57">
        <v>2604</v>
      </c>
      <c r="X57" s="1">
        <v>0.54100000000000004</v>
      </c>
      <c r="Y57" s="1">
        <f>(O57-P57)/O57</f>
        <v>9.8356861837537612E-2</v>
      </c>
      <c r="Z57" s="2">
        <f>P57/M57</f>
        <v>1.9211992701809755</v>
      </c>
      <c r="AA57" s="13">
        <f t="shared" si="0"/>
        <v>45809</v>
      </c>
      <c r="AB57" t="str">
        <f>IF(X57&gt;=0.5,"Faixa 1",IF(X57=0,"Faixa 3","Faixa 2"))</f>
        <v>Faixa 1</v>
      </c>
      <c r="AC57">
        <v>1</v>
      </c>
      <c r="AD57" t="str">
        <f t="shared" si="1"/>
        <v>2025-2T</v>
      </c>
      <c r="AE57" s="1" t="str">
        <f t="shared" si="2"/>
        <v>Até +0,5%</v>
      </c>
      <c r="AF57" t="str">
        <f t="shared" si="3"/>
        <v>Ate 32%</v>
      </c>
      <c r="AG57" t="str">
        <f t="shared" si="4"/>
        <v>Ate 39%</v>
      </c>
      <c r="AH57" s="1"/>
    </row>
    <row r="58" spans="1:34" x14ac:dyDescent="0.45">
      <c r="A58" t="s">
        <v>176</v>
      </c>
      <c r="B58" t="s">
        <v>177</v>
      </c>
      <c r="C58" s="13">
        <v>45838</v>
      </c>
      <c r="D58" t="s">
        <v>29</v>
      </c>
      <c r="E58" t="s">
        <v>30</v>
      </c>
      <c r="F58">
        <v>432</v>
      </c>
      <c r="G58">
        <v>221581</v>
      </c>
      <c r="H58" s="1">
        <v>0.09</v>
      </c>
      <c r="I58">
        <v>431</v>
      </c>
      <c r="J58">
        <v>43803</v>
      </c>
      <c r="K58" s="10">
        <v>0.46899999999999997</v>
      </c>
      <c r="L58">
        <v>11</v>
      </c>
      <c r="M58">
        <v>101395</v>
      </c>
      <c r="O58">
        <v>216050</v>
      </c>
      <c r="P58">
        <v>194800</v>
      </c>
      <c r="Q58" s="1">
        <v>0.20200000000000001</v>
      </c>
      <c r="R58" s="1">
        <v>0.2</v>
      </c>
      <c r="S58" s="1">
        <v>0.37200000000000011</v>
      </c>
      <c r="T58" s="1">
        <v>0.30599999999999999</v>
      </c>
      <c r="U58">
        <v>9597</v>
      </c>
      <c r="V58" s="1">
        <v>9.4E-2</v>
      </c>
      <c r="W58">
        <v>2604</v>
      </c>
      <c r="X58" s="1">
        <v>0.54100000000000004</v>
      </c>
      <c r="Y58" s="1">
        <f>(O58-P58)/O58</f>
        <v>9.8356861837537612E-2</v>
      </c>
      <c r="Z58" s="2">
        <f>P58/M58</f>
        <v>1.9211992701809755</v>
      </c>
      <c r="AA58" s="13">
        <f t="shared" si="0"/>
        <v>45809</v>
      </c>
      <c r="AB58" t="str">
        <f>IF(X58&gt;=0.5,"Faixa 1",IF(X58=0,"Faixa 3","Faixa 2"))</f>
        <v>Faixa 1</v>
      </c>
      <c r="AC58">
        <v>1</v>
      </c>
      <c r="AD58" t="str">
        <f t="shared" si="1"/>
        <v>2025-2T</v>
      </c>
      <c r="AE58" s="1" t="str">
        <f t="shared" si="2"/>
        <v>Até +0,5%</v>
      </c>
      <c r="AF58" t="str">
        <f t="shared" si="3"/>
        <v>Ate 32%</v>
      </c>
      <c r="AG58" t="str">
        <f t="shared" si="4"/>
        <v>Ate 39%</v>
      </c>
      <c r="AH58" s="1"/>
    </row>
    <row r="59" spans="1:34" x14ac:dyDescent="0.45">
      <c r="A59" t="s">
        <v>178</v>
      </c>
      <c r="B59" t="s">
        <v>179</v>
      </c>
      <c r="C59" s="13">
        <v>45838</v>
      </c>
      <c r="D59" t="s">
        <v>163</v>
      </c>
      <c r="E59" t="s">
        <v>30</v>
      </c>
      <c r="F59">
        <v>521</v>
      </c>
      <c r="G59">
        <v>235000</v>
      </c>
      <c r="H59" s="1">
        <v>6.2E-2</v>
      </c>
      <c r="I59">
        <v>1847</v>
      </c>
      <c r="J59">
        <v>51091</v>
      </c>
      <c r="K59" s="10">
        <v>0.45500000000000002</v>
      </c>
      <c r="L59">
        <v>20</v>
      </c>
      <c r="M59">
        <v>98064</v>
      </c>
      <c r="O59">
        <v>215545</v>
      </c>
      <c r="P59">
        <v>199266</v>
      </c>
      <c r="Q59" s="1">
        <v>0.20699999999999999</v>
      </c>
      <c r="R59" s="1">
        <v>0.2</v>
      </c>
      <c r="S59" s="1">
        <v>0.39200000000000002</v>
      </c>
      <c r="T59" s="1">
        <v>0.33700000000000002</v>
      </c>
      <c r="U59">
        <v>17975</v>
      </c>
      <c r="V59" s="1">
        <v>0.14899999999999999</v>
      </c>
      <c r="W59">
        <v>2771</v>
      </c>
      <c r="X59" s="1">
        <v>0.5</v>
      </c>
      <c r="Y59" s="1">
        <f>(O59-P59)/O59</f>
        <v>7.5524832401586681E-2</v>
      </c>
      <c r="Z59" s="2">
        <f>P59/M59</f>
        <v>2.0319995105237396</v>
      </c>
      <c r="AA59" s="13">
        <f t="shared" si="0"/>
        <v>45809</v>
      </c>
      <c r="AB59" t="str">
        <f>IF(X59&gt;=0.5,"Faixa 1",IF(X59=0,"Faixa 3","Faixa 2"))</f>
        <v>Faixa 1</v>
      </c>
      <c r="AC59">
        <v>1</v>
      </c>
      <c r="AD59" t="str">
        <f t="shared" si="1"/>
        <v>2025-2T</v>
      </c>
      <c r="AE59" s="1" t="str">
        <f t="shared" si="2"/>
        <v>Ate +1%</v>
      </c>
      <c r="AF59" t="str">
        <f t="shared" si="3"/>
        <v>Ate 34%</v>
      </c>
      <c r="AG59" t="str">
        <f t="shared" si="4"/>
        <v>Ate 41%</v>
      </c>
      <c r="AH59" s="1"/>
    </row>
    <row r="60" spans="1:34" x14ac:dyDescent="0.45">
      <c r="A60" t="s">
        <v>180</v>
      </c>
      <c r="B60" t="s">
        <v>181</v>
      </c>
      <c r="C60" s="13">
        <v>45838</v>
      </c>
      <c r="D60" t="s">
        <v>182</v>
      </c>
      <c r="E60" t="s">
        <v>30</v>
      </c>
      <c r="F60">
        <v>442</v>
      </c>
      <c r="G60">
        <v>308756</v>
      </c>
      <c r="H60" s="1">
        <v>0.13</v>
      </c>
      <c r="I60">
        <v>2213</v>
      </c>
      <c r="J60">
        <v>43626</v>
      </c>
      <c r="K60" s="10">
        <v>0.36</v>
      </c>
      <c r="L60">
        <v>19</v>
      </c>
      <c r="M60">
        <v>98701</v>
      </c>
      <c r="O60">
        <v>274119</v>
      </c>
      <c r="P60">
        <v>249487</v>
      </c>
      <c r="Q60" s="1">
        <v>0.20200000000000001</v>
      </c>
      <c r="R60" s="1">
        <v>0.2</v>
      </c>
      <c r="S60" s="1">
        <v>0.40500000000000003</v>
      </c>
      <c r="T60" s="1">
        <v>0.33900000000000002</v>
      </c>
      <c r="U60">
        <v>17079</v>
      </c>
      <c r="V60" s="1">
        <v>0.14099999999999999</v>
      </c>
      <c r="W60">
        <v>5322</v>
      </c>
      <c r="X60" s="1">
        <v>0</v>
      </c>
      <c r="Y60" s="1">
        <f>(O60-P60)/O60</f>
        <v>8.9858783958791613E-2</v>
      </c>
      <c r="Z60" s="2">
        <f>P60/M60</f>
        <v>2.5277048864753144</v>
      </c>
      <c r="AA60" s="13">
        <f t="shared" si="0"/>
        <v>45809</v>
      </c>
      <c r="AB60" t="str">
        <f>IF(X60&gt;=0.5,"Faixa 1",IF(X60=0,"Faixa 3","Faixa 2"))</f>
        <v>Faixa 3</v>
      </c>
      <c r="AC60">
        <v>1</v>
      </c>
      <c r="AD60" t="str">
        <f t="shared" si="1"/>
        <v>2025-2T</v>
      </c>
      <c r="AE60" s="1" t="str">
        <f t="shared" si="2"/>
        <v>Até +0,5%</v>
      </c>
      <c r="AF60" t="str">
        <f t="shared" si="3"/>
        <v>Ate 34%</v>
      </c>
      <c r="AG60" t="str">
        <f t="shared" si="4"/>
        <v>Ate 41%</v>
      </c>
      <c r="AH60" s="1"/>
    </row>
    <row r="61" spans="1:34" x14ac:dyDescent="0.45">
      <c r="A61" t="s">
        <v>183</v>
      </c>
      <c r="B61" t="s">
        <v>184</v>
      </c>
      <c r="C61" s="13">
        <v>45838</v>
      </c>
      <c r="D61" t="s">
        <v>168</v>
      </c>
      <c r="E61" t="s">
        <v>30</v>
      </c>
      <c r="F61">
        <v>383</v>
      </c>
      <c r="G61">
        <v>253222</v>
      </c>
      <c r="H61" s="1">
        <v>8.1000000000000003E-2</v>
      </c>
      <c r="I61">
        <v>949</v>
      </c>
      <c r="J61">
        <v>40920</v>
      </c>
      <c r="K61" s="10">
        <v>0.44</v>
      </c>
      <c r="L61">
        <v>19</v>
      </c>
      <c r="M61">
        <v>106841</v>
      </c>
      <c r="O61">
        <v>242558</v>
      </c>
      <c r="P61">
        <v>221079</v>
      </c>
      <c r="Q61" s="1">
        <v>0.18</v>
      </c>
      <c r="R61" s="1">
        <v>0.2</v>
      </c>
      <c r="S61" s="1">
        <v>0.37200000000000011</v>
      </c>
      <c r="T61" s="1">
        <v>0.30299999999999999</v>
      </c>
      <c r="U61">
        <v>11294</v>
      </c>
      <c r="V61" s="1">
        <v>0.113</v>
      </c>
      <c r="W61">
        <v>3874</v>
      </c>
      <c r="X61" s="1">
        <v>0.13100000000000001</v>
      </c>
      <c r="Y61" s="1">
        <f>(O61-P61)/O61</f>
        <v>8.8552016424937541E-2</v>
      </c>
      <c r="Z61" s="2">
        <f>P61/M61</f>
        <v>2.0692337211370169</v>
      </c>
      <c r="AA61" s="13">
        <f t="shared" si="0"/>
        <v>45809</v>
      </c>
      <c r="AB61" t="str">
        <f>IF(X61&gt;=0.5,"Faixa 1",IF(X61=0,"Faixa 3","Faixa 2"))</f>
        <v>Faixa 2</v>
      </c>
      <c r="AC61">
        <v>1</v>
      </c>
      <c r="AD61" t="str">
        <f t="shared" si="1"/>
        <v>2025-2T</v>
      </c>
      <c r="AE61" s="1" t="str">
        <f t="shared" si="2"/>
        <v>Até +0,5%</v>
      </c>
      <c r="AF61" t="str">
        <f t="shared" si="3"/>
        <v>Ate 32%</v>
      </c>
      <c r="AG61" t="str">
        <f t="shared" si="4"/>
        <v>Ate 39%</v>
      </c>
      <c r="AH61" s="1"/>
    </row>
    <row r="62" spans="1:34" x14ac:dyDescent="0.45">
      <c r="A62" t="s">
        <v>185</v>
      </c>
      <c r="B62" t="s">
        <v>186</v>
      </c>
      <c r="C62" s="13">
        <v>45838</v>
      </c>
      <c r="D62" t="s">
        <v>34</v>
      </c>
      <c r="E62" t="s">
        <v>30</v>
      </c>
      <c r="F62">
        <v>238</v>
      </c>
      <c r="G62">
        <v>190000</v>
      </c>
      <c r="H62" s="1">
        <v>5.5999999999999987E-2</v>
      </c>
      <c r="I62">
        <v>129</v>
      </c>
      <c r="J62">
        <v>19038</v>
      </c>
      <c r="K62" s="10">
        <v>0.41799999999999998</v>
      </c>
      <c r="L62">
        <v>10</v>
      </c>
      <c r="M62">
        <v>79993</v>
      </c>
      <c r="O62">
        <v>191345</v>
      </c>
      <c r="P62">
        <v>167942</v>
      </c>
      <c r="Q62" s="1">
        <v>0.23499999999999999</v>
      </c>
      <c r="R62" s="1">
        <v>0.28599999999999998</v>
      </c>
      <c r="S62" s="1">
        <v>0.46700000000000003</v>
      </c>
      <c r="T62" s="1">
        <v>0.38700000000000001</v>
      </c>
      <c r="U62">
        <v>16324</v>
      </c>
      <c r="V62" s="8">
        <v>0.35799999999999998</v>
      </c>
      <c r="W62">
        <v>2045</v>
      </c>
      <c r="X62" s="1">
        <v>1</v>
      </c>
      <c r="Y62" s="1">
        <f>(O62-P62)/O62</f>
        <v>0.12230787321330581</v>
      </c>
      <c r="Z62" s="2">
        <f>P62/M62</f>
        <v>2.0994587026364808</v>
      </c>
      <c r="AA62" s="13">
        <f t="shared" si="0"/>
        <v>45809</v>
      </c>
      <c r="AB62" t="str">
        <f>IF(X62&gt;=0.5,"Faixa 1",IF(X62=0,"Faixa 3","Faixa 2"))</f>
        <v>Faixa 1</v>
      </c>
      <c r="AC62">
        <v>1</v>
      </c>
      <c r="AD62" t="str">
        <f t="shared" si="1"/>
        <v>2025-2T</v>
      </c>
      <c r="AE62" s="1" t="str">
        <f t="shared" si="2"/>
        <v>Até +0,5%</v>
      </c>
      <c r="AF62" t="str">
        <f t="shared" si="3"/>
        <v>Acima de 34%</v>
      </c>
      <c r="AG62" t="str">
        <f t="shared" si="4"/>
        <v>Acima de 41%</v>
      </c>
      <c r="AH62" s="1"/>
    </row>
    <row r="63" spans="1:34" x14ac:dyDescent="0.45">
      <c r="A63" t="s">
        <v>188</v>
      </c>
      <c r="B63" t="s">
        <v>95</v>
      </c>
      <c r="C63" s="13">
        <v>45838</v>
      </c>
      <c r="D63" t="s">
        <v>34</v>
      </c>
      <c r="E63" t="s">
        <v>35</v>
      </c>
      <c r="F63">
        <v>690</v>
      </c>
      <c r="G63">
        <v>201649</v>
      </c>
      <c r="H63" s="1">
        <v>0.08</v>
      </c>
      <c r="I63">
        <v>552</v>
      </c>
      <c r="J63">
        <v>65694</v>
      </c>
      <c r="K63" s="10">
        <v>0.499</v>
      </c>
      <c r="L63">
        <v>18</v>
      </c>
      <c r="M63">
        <v>95208</v>
      </c>
      <c r="O63">
        <v>190646</v>
      </c>
      <c r="P63">
        <v>171068</v>
      </c>
      <c r="Q63" s="1">
        <v>0.2</v>
      </c>
      <c r="R63" s="1">
        <v>0.2</v>
      </c>
      <c r="S63" s="1">
        <v>0.35499999999999998</v>
      </c>
      <c r="T63" s="1">
        <v>0.27300000000000002</v>
      </c>
      <c r="U63">
        <v>10669</v>
      </c>
      <c r="V63" s="1">
        <v>8.1000000000000003E-2</v>
      </c>
      <c r="W63">
        <v>2494</v>
      </c>
      <c r="X63" s="1">
        <v>0.92900000000000005</v>
      </c>
      <c r="Y63" s="1">
        <f>(O63-P63)/O63</f>
        <v>0.10269294923575632</v>
      </c>
      <c r="Z63" s="2">
        <f>P63/M63</f>
        <v>1.7967817830434418</v>
      </c>
      <c r="AA63" s="13">
        <f t="shared" si="0"/>
        <v>45809</v>
      </c>
      <c r="AB63" t="str">
        <f>IF(X63&gt;=0.5,"Faixa 1",IF(X63=0,"Faixa 3","Faixa 2"))</f>
        <v>Faixa 1</v>
      </c>
      <c r="AC63">
        <v>1</v>
      </c>
      <c r="AD63" t="str">
        <f t="shared" si="1"/>
        <v>2025-2T</v>
      </c>
      <c r="AE63" s="1" t="str">
        <f t="shared" si="2"/>
        <v>Até +0,5%</v>
      </c>
      <c r="AF63" t="str">
        <f t="shared" si="3"/>
        <v>Ate 32%</v>
      </c>
      <c r="AG63" t="str">
        <f t="shared" si="4"/>
        <v>Ate 39%</v>
      </c>
      <c r="AH63" s="1"/>
    </row>
    <row r="64" spans="1:34" x14ac:dyDescent="0.45">
      <c r="A64" t="s">
        <v>189</v>
      </c>
      <c r="B64" t="s">
        <v>190</v>
      </c>
      <c r="C64" s="13">
        <v>45838</v>
      </c>
      <c r="D64" t="s">
        <v>168</v>
      </c>
      <c r="E64" t="s">
        <v>30</v>
      </c>
      <c r="F64">
        <v>353</v>
      </c>
      <c r="G64">
        <v>283116</v>
      </c>
      <c r="H64" s="1">
        <v>0.10100000000000001</v>
      </c>
      <c r="I64">
        <v>3310</v>
      </c>
      <c r="J64">
        <v>38976</v>
      </c>
      <c r="K64" s="10">
        <v>0.39500000000000002</v>
      </c>
      <c r="L64">
        <v>19</v>
      </c>
      <c r="M64">
        <v>110414</v>
      </c>
      <c r="O64">
        <v>279666</v>
      </c>
      <c r="P64">
        <v>258847</v>
      </c>
      <c r="Q64" s="1">
        <v>0.2</v>
      </c>
      <c r="R64" s="1">
        <v>0.2</v>
      </c>
      <c r="S64" s="1">
        <v>0.40500000000000003</v>
      </c>
      <c r="T64" s="1">
        <v>0.35399999999999998</v>
      </c>
      <c r="U64">
        <v>15946</v>
      </c>
      <c r="V64" s="1">
        <v>0.14799999999999999</v>
      </c>
      <c r="W64">
        <v>4791</v>
      </c>
      <c r="X64" s="1">
        <v>0</v>
      </c>
      <c r="Y64" s="1">
        <f>(O64-P64)/O64</f>
        <v>7.4442370542003672E-2</v>
      </c>
      <c r="Z64" s="2">
        <f>P64/M64</f>
        <v>2.3443313347945005</v>
      </c>
      <c r="AA64" s="13">
        <f t="shared" si="0"/>
        <v>45809</v>
      </c>
      <c r="AB64" t="str">
        <f>IF(X64&gt;=0.5,"Faixa 1",IF(X64=0,"Faixa 3","Faixa 2"))</f>
        <v>Faixa 3</v>
      </c>
      <c r="AC64">
        <v>1</v>
      </c>
      <c r="AD64" t="str">
        <f t="shared" si="1"/>
        <v>2025-2T</v>
      </c>
      <c r="AE64" s="1" t="str">
        <f t="shared" si="2"/>
        <v>Até +0,5%</v>
      </c>
      <c r="AF64" t="str">
        <f t="shared" si="3"/>
        <v>Acima de 34%</v>
      </c>
      <c r="AG64" t="str">
        <f t="shared" si="4"/>
        <v>Ate 41%</v>
      </c>
      <c r="AH64" s="1"/>
    </row>
    <row r="65" spans="1:34" x14ac:dyDescent="0.45">
      <c r="A65" t="s">
        <v>191</v>
      </c>
      <c r="B65" t="s">
        <v>192</v>
      </c>
      <c r="C65" s="13">
        <v>45838</v>
      </c>
      <c r="D65" t="s">
        <v>29</v>
      </c>
      <c r="E65" t="s">
        <v>30</v>
      </c>
      <c r="F65">
        <v>1230</v>
      </c>
      <c r="G65">
        <v>218057</v>
      </c>
      <c r="H65" s="1">
        <v>8.900000000000001E-2</v>
      </c>
      <c r="I65">
        <v>499</v>
      </c>
      <c r="J65">
        <v>111340</v>
      </c>
      <c r="K65" s="10">
        <v>0.441</v>
      </c>
      <c r="L65">
        <v>16</v>
      </c>
      <c r="M65">
        <v>90521</v>
      </c>
      <c r="O65">
        <v>205205</v>
      </c>
      <c r="P65">
        <v>187240</v>
      </c>
      <c r="Q65" s="1">
        <v>0.2</v>
      </c>
      <c r="R65" s="1">
        <v>0.2</v>
      </c>
      <c r="S65" s="1">
        <v>0.39800000000000002</v>
      </c>
      <c r="T65" s="1">
        <v>0.33500000000000002</v>
      </c>
      <c r="U65" s="7">
        <v>32063</v>
      </c>
      <c r="V65" s="1">
        <v>0.11700000000000001</v>
      </c>
      <c r="W65">
        <v>2537</v>
      </c>
      <c r="X65" s="1">
        <v>0.71099999999999997</v>
      </c>
      <c r="Y65" s="1">
        <f>(O65-P65)/O65</f>
        <v>8.7546599741721687E-2</v>
      </c>
      <c r="Z65" s="2">
        <f>P65/M65</f>
        <v>2.0684702997094595</v>
      </c>
      <c r="AA65" s="13">
        <f t="shared" si="0"/>
        <v>45809</v>
      </c>
      <c r="AB65" t="str">
        <f>IF(X65&gt;=0.5,"Faixa 1",IF(X65=0,"Faixa 3","Faixa 2"))</f>
        <v>Faixa 1</v>
      </c>
      <c r="AC65">
        <v>1</v>
      </c>
      <c r="AD65" t="str">
        <f t="shared" si="1"/>
        <v>2025-2T</v>
      </c>
      <c r="AE65" s="1" t="str">
        <f t="shared" si="2"/>
        <v>Até +0,5%</v>
      </c>
      <c r="AF65" t="str">
        <f t="shared" si="3"/>
        <v>Ate 34%</v>
      </c>
      <c r="AG65" t="str">
        <f t="shared" si="4"/>
        <v>Ate 41%</v>
      </c>
      <c r="AH65" s="1"/>
    </row>
    <row r="66" spans="1:34" x14ac:dyDescent="0.45">
      <c r="A66" t="s">
        <v>193</v>
      </c>
      <c r="B66" t="s">
        <v>194</v>
      </c>
      <c r="C66" s="13">
        <v>45852</v>
      </c>
      <c r="D66" t="s">
        <v>60</v>
      </c>
      <c r="E66" t="s">
        <v>30</v>
      </c>
      <c r="F66">
        <v>476</v>
      </c>
      <c r="G66">
        <v>248544</v>
      </c>
      <c r="H66" s="1">
        <v>8.5000000000000006E-2</v>
      </c>
      <c r="I66">
        <v>2171</v>
      </c>
      <c r="J66">
        <v>49018</v>
      </c>
      <c r="K66" s="10">
        <v>0.41899999999999998</v>
      </c>
      <c r="L66">
        <v>19</v>
      </c>
      <c r="M66">
        <v>102978</v>
      </c>
      <c r="O66">
        <v>245555</v>
      </c>
      <c r="P66">
        <v>220699</v>
      </c>
      <c r="Q66" s="1">
        <v>0.20300000000000001</v>
      </c>
      <c r="R66" s="1">
        <v>0.2</v>
      </c>
      <c r="S66" s="1">
        <v>0.38900000000000001</v>
      </c>
      <c r="T66" s="1">
        <v>0.32</v>
      </c>
      <c r="U66">
        <v>13363</v>
      </c>
      <c r="V66" s="1">
        <v>0.113</v>
      </c>
      <c r="W66">
        <v>3946</v>
      </c>
      <c r="X66" s="1">
        <v>0</v>
      </c>
      <c r="Y66" s="1">
        <f>(O66-P66)/O66</f>
        <v>0.10122375842479282</v>
      </c>
      <c r="Z66" s="2">
        <f>P66/M66</f>
        <v>2.1431665015828623</v>
      </c>
      <c r="AA66" s="13">
        <f t="shared" si="0"/>
        <v>45839</v>
      </c>
      <c r="AB66" t="str">
        <f>IF(X66&gt;=0.5,"Faixa 1",IF(X66=0,"Faixa 3","Faixa 2"))</f>
        <v>Faixa 3</v>
      </c>
      <c r="AC66">
        <v>1</v>
      </c>
      <c r="AD66" t="str">
        <f t="shared" si="1"/>
        <v>2025-3T</v>
      </c>
      <c r="AE66" s="1" t="str">
        <f t="shared" si="2"/>
        <v>Até +0,5%</v>
      </c>
      <c r="AF66" t="str">
        <f t="shared" si="3"/>
        <v>Ate 32%</v>
      </c>
      <c r="AG66" t="str">
        <f t="shared" si="4"/>
        <v>Ate 39%</v>
      </c>
      <c r="AH66" s="1"/>
    </row>
    <row r="67" spans="1:34" x14ac:dyDescent="0.45">
      <c r="A67" t="s">
        <v>197</v>
      </c>
      <c r="B67" t="s">
        <v>198</v>
      </c>
      <c r="C67" s="13">
        <v>45863</v>
      </c>
      <c r="D67" t="s">
        <v>200</v>
      </c>
      <c r="E67" t="s">
        <v>30</v>
      </c>
      <c r="F67">
        <v>493</v>
      </c>
      <c r="G67">
        <v>203970</v>
      </c>
      <c r="H67" s="1">
        <v>0.09</v>
      </c>
      <c r="I67">
        <v>745</v>
      </c>
      <c r="J67">
        <v>41470</v>
      </c>
      <c r="K67" s="10">
        <v>0.40200000000000002</v>
      </c>
      <c r="L67">
        <v>13</v>
      </c>
      <c r="M67">
        <v>84118</v>
      </c>
      <c r="O67">
        <v>208998</v>
      </c>
      <c r="P67">
        <v>185707</v>
      </c>
      <c r="Q67" s="1">
        <v>0.20300000000000001</v>
      </c>
      <c r="R67" s="1">
        <v>0.2</v>
      </c>
      <c r="S67" s="1">
        <v>0.41399999999999998</v>
      </c>
      <c r="T67" s="1">
        <v>0.33400000000000002</v>
      </c>
      <c r="U67">
        <v>18069</v>
      </c>
      <c r="V67" s="1">
        <v>0.17499999999999999</v>
      </c>
      <c r="W67">
        <v>2745</v>
      </c>
      <c r="X67" s="1">
        <v>0.67799999999999994</v>
      </c>
      <c r="Y67" s="1">
        <f>(O67-P67)/O67</f>
        <v>0.11144125781107954</v>
      </c>
      <c r="Z67" s="2">
        <f>P67/M67</f>
        <v>2.2076963313440645</v>
      </c>
      <c r="AA67" s="13">
        <f t="shared" ref="AA67:AA130" si="5">DATE(YEAR(C67),MONTH(C67),1)</f>
        <v>45839</v>
      </c>
      <c r="AB67" t="str">
        <f>IF(X67&gt;=0.5,"Faixa 1",IF(X67=0,"Faixa 3","Faixa 2"))</f>
        <v>Faixa 1</v>
      </c>
      <c r="AC67">
        <v>1</v>
      </c>
      <c r="AD67" t="str">
        <f t="shared" ref="AD67:AD130" si="6">YEAR(AA67)&amp;"-"&amp;IF(MONTH(AA67)&lt;4,1,IF(MONTH(AA67)&lt;7,2,IF(MONTH(AA67)&lt;10,3,4)))&amp;"T"</f>
        <v>2025-3T</v>
      </c>
      <c r="AE67" s="1" t="str">
        <f t="shared" ref="AE67:AE130" si="7">IF((Q67-R67)&lt;0.005,"Até +0,5%",IF((Q67-R67)&lt;0.01,"Ate +1%","Acima de +1%"))</f>
        <v>Até +0,5%</v>
      </c>
      <c r="AF67" t="str">
        <f t="shared" ref="AF67:AF130" si="8">IF($T67&lt;=0.32,"Ate 32%",IF($T67&lt;=0.34,"Ate 34%","Acima de 34%"))</f>
        <v>Ate 34%</v>
      </c>
      <c r="AG67" t="str">
        <f t="shared" ref="AG67:AG130" si="9">IF($S67&lt;=0.39,"Ate 39%",IF($S67&lt;=0.41,"Ate 41%","Acima de 41%"))</f>
        <v>Acima de 41%</v>
      </c>
      <c r="AH67" s="1"/>
    </row>
    <row r="68" spans="1:34" x14ac:dyDescent="0.45">
      <c r="A68" t="s">
        <v>201</v>
      </c>
      <c r="B68" t="s">
        <v>202</v>
      </c>
      <c r="C68" s="13">
        <v>45866</v>
      </c>
      <c r="D68" t="s">
        <v>204</v>
      </c>
      <c r="E68" t="s">
        <v>30</v>
      </c>
      <c r="F68">
        <v>490</v>
      </c>
      <c r="G68">
        <v>191751</v>
      </c>
      <c r="H68" s="1">
        <v>8.6999999999999994E-2</v>
      </c>
      <c r="I68">
        <v>1118</v>
      </c>
      <c r="J68">
        <v>37534</v>
      </c>
      <c r="K68" s="10">
        <v>0.375</v>
      </c>
      <c r="L68">
        <v>14</v>
      </c>
      <c r="M68" s="7">
        <v>76601</v>
      </c>
      <c r="O68">
        <v>204515</v>
      </c>
      <c r="P68">
        <v>177130</v>
      </c>
      <c r="Q68" s="8">
        <v>0.28699999999999998</v>
      </c>
      <c r="R68" s="1">
        <v>0.2</v>
      </c>
      <c r="S68" s="1">
        <v>0.44299999999999989</v>
      </c>
      <c r="T68" s="1">
        <v>0.39700000000000002</v>
      </c>
      <c r="U68">
        <v>8036</v>
      </c>
      <c r="V68" s="1">
        <v>0.08</v>
      </c>
      <c r="W68">
        <v>2985</v>
      </c>
      <c r="X68" s="1">
        <v>0.44299999999999989</v>
      </c>
      <c r="Y68" s="1">
        <f>(O68-P68)/O68</f>
        <v>0.1339021587658607</v>
      </c>
      <c r="Z68" s="2">
        <f>P68/M68</f>
        <v>2.3123719011501156</v>
      </c>
      <c r="AA68" s="13">
        <f t="shared" si="5"/>
        <v>45839</v>
      </c>
      <c r="AB68" t="str">
        <f>IF(X68&gt;=0.5,"Faixa 1",IF(X68=0,"Faixa 3","Faixa 2"))</f>
        <v>Faixa 2</v>
      </c>
      <c r="AC68">
        <v>1</v>
      </c>
      <c r="AD68" t="str">
        <f t="shared" si="6"/>
        <v>2025-3T</v>
      </c>
      <c r="AE68" s="1" t="str">
        <f t="shared" si="7"/>
        <v>Acima de +1%</v>
      </c>
      <c r="AF68" t="str">
        <f t="shared" si="8"/>
        <v>Acima de 34%</v>
      </c>
      <c r="AG68" t="str">
        <f t="shared" si="9"/>
        <v>Acima de 41%</v>
      </c>
      <c r="AH68" s="1"/>
    </row>
    <row r="69" spans="1:34" x14ac:dyDescent="0.45">
      <c r="A69" t="s">
        <v>205</v>
      </c>
      <c r="B69" t="s">
        <v>80</v>
      </c>
      <c r="C69" s="13">
        <v>45866</v>
      </c>
      <c r="D69" t="s">
        <v>29</v>
      </c>
      <c r="E69" t="s">
        <v>30</v>
      </c>
      <c r="F69">
        <v>858</v>
      </c>
      <c r="G69">
        <v>239815</v>
      </c>
      <c r="H69" s="1">
        <v>7.2000000000000008E-2</v>
      </c>
      <c r="I69">
        <v>1226</v>
      </c>
      <c r="J69">
        <v>83527</v>
      </c>
      <c r="K69" s="10">
        <v>0.40100000000000002</v>
      </c>
      <c r="L69">
        <v>20</v>
      </c>
      <c r="M69">
        <v>97350</v>
      </c>
      <c r="O69">
        <v>243026</v>
      </c>
      <c r="P69">
        <v>223666</v>
      </c>
      <c r="Q69" s="1">
        <v>0.20799999999999999</v>
      </c>
      <c r="R69" s="1">
        <v>0.2</v>
      </c>
      <c r="S69" s="1">
        <v>0.434</v>
      </c>
      <c r="T69" s="1">
        <v>0.37799999999999989</v>
      </c>
      <c r="U69">
        <v>25315</v>
      </c>
      <c r="V69" s="1">
        <v>0.114</v>
      </c>
      <c r="W69">
        <v>4166</v>
      </c>
      <c r="X69" s="1">
        <v>0</v>
      </c>
      <c r="Y69" s="1">
        <f>(O69-P69)/O69</f>
        <v>7.9662258359187901E-2</v>
      </c>
      <c r="Z69" s="2">
        <f>P69/M69</f>
        <v>2.2975449409347712</v>
      </c>
      <c r="AA69" s="13">
        <f t="shared" si="5"/>
        <v>45839</v>
      </c>
      <c r="AB69" t="str">
        <f>IF(X69&gt;=0.5,"Faixa 1",IF(X69=0,"Faixa 3","Faixa 2"))</f>
        <v>Faixa 3</v>
      </c>
      <c r="AC69">
        <v>1</v>
      </c>
      <c r="AD69" t="str">
        <f t="shared" si="6"/>
        <v>2025-3T</v>
      </c>
      <c r="AE69" s="1" t="str">
        <f t="shared" si="7"/>
        <v>Ate +1%</v>
      </c>
      <c r="AF69" t="str">
        <f t="shared" si="8"/>
        <v>Acima de 34%</v>
      </c>
      <c r="AG69" t="str">
        <f t="shared" si="9"/>
        <v>Acima de 41%</v>
      </c>
      <c r="AH69" s="1"/>
    </row>
    <row r="70" spans="1:34" x14ac:dyDescent="0.45">
      <c r="A70" t="s">
        <v>206</v>
      </c>
      <c r="B70" t="s">
        <v>207</v>
      </c>
      <c r="C70" s="13">
        <v>45873</v>
      </c>
      <c r="D70" t="s">
        <v>60</v>
      </c>
      <c r="E70" t="s">
        <v>30</v>
      </c>
      <c r="F70">
        <v>696</v>
      </c>
      <c r="G70">
        <v>232598</v>
      </c>
      <c r="H70" s="1">
        <v>0.06</v>
      </c>
      <c r="I70">
        <v>792</v>
      </c>
      <c r="J70">
        <v>73392</v>
      </c>
      <c r="K70" s="10">
        <v>0.46800000000000003</v>
      </c>
      <c r="L70">
        <v>22</v>
      </c>
      <c r="M70">
        <v>105448</v>
      </c>
      <c r="O70">
        <v>225486</v>
      </c>
      <c r="P70">
        <v>202688</v>
      </c>
      <c r="Q70" s="1">
        <v>0.2</v>
      </c>
      <c r="R70" s="1">
        <v>0.2</v>
      </c>
      <c r="S70" s="1">
        <v>0.38200000000000001</v>
      </c>
      <c r="T70" s="1">
        <v>0.30399999999999999</v>
      </c>
      <c r="U70">
        <v>18827</v>
      </c>
      <c r="V70" s="1">
        <v>0.11899999999999999</v>
      </c>
      <c r="W70">
        <v>3205</v>
      </c>
      <c r="X70" s="1">
        <v>0.40300000000000002</v>
      </c>
      <c r="Y70" s="1">
        <f>(O70-P70)/O70</f>
        <v>0.10110605536485635</v>
      </c>
      <c r="Z70" s="2">
        <f>P70/M70</f>
        <v>1.9221606858356726</v>
      </c>
      <c r="AA70" s="13">
        <f t="shared" si="5"/>
        <v>45870</v>
      </c>
      <c r="AB70" t="str">
        <f>IF(X70&gt;=0.5,"Faixa 1",IF(X70=0,"Faixa 3","Faixa 2"))</f>
        <v>Faixa 2</v>
      </c>
      <c r="AC70">
        <v>1</v>
      </c>
      <c r="AD70" t="str">
        <f t="shared" si="6"/>
        <v>2025-3T</v>
      </c>
      <c r="AE70" s="1" t="str">
        <f t="shared" si="7"/>
        <v>Até +0,5%</v>
      </c>
      <c r="AF70" t="str">
        <f t="shared" si="8"/>
        <v>Ate 32%</v>
      </c>
      <c r="AG70" t="str">
        <f t="shared" si="9"/>
        <v>Ate 39%</v>
      </c>
      <c r="AH70" s="1"/>
    </row>
    <row r="71" spans="1:34" x14ac:dyDescent="0.45">
      <c r="A71" t="s">
        <v>209</v>
      </c>
      <c r="B71" t="s">
        <v>210</v>
      </c>
      <c r="C71" s="13">
        <v>45877</v>
      </c>
      <c r="D71" t="s">
        <v>44</v>
      </c>
      <c r="E71" t="s">
        <v>35</v>
      </c>
      <c r="F71">
        <v>530</v>
      </c>
      <c r="G71">
        <v>241000</v>
      </c>
      <c r="H71" s="1">
        <v>6.6000000000000003E-2</v>
      </c>
      <c r="I71">
        <v>1533</v>
      </c>
      <c r="J71">
        <v>55992</v>
      </c>
      <c r="K71" s="10">
        <v>0.45500000000000002</v>
      </c>
      <c r="L71">
        <v>23</v>
      </c>
      <c r="M71">
        <v>105646</v>
      </c>
      <c r="O71">
        <v>231994</v>
      </c>
      <c r="P71">
        <v>215015</v>
      </c>
      <c r="Q71" s="1">
        <v>0.20100000000000001</v>
      </c>
      <c r="R71" s="1">
        <v>0.2</v>
      </c>
      <c r="S71" s="1">
        <v>0.371</v>
      </c>
      <c r="T71" s="1">
        <v>0.314</v>
      </c>
      <c r="U71">
        <v>10106</v>
      </c>
      <c r="V71" s="1">
        <v>8.3000000000000004E-2</v>
      </c>
      <c r="W71">
        <v>3409</v>
      </c>
      <c r="X71" s="1">
        <v>0.25</v>
      </c>
      <c r="Y71" s="1">
        <f>(O71-P71)/O71</f>
        <v>7.3187237600972441E-2</v>
      </c>
      <c r="Z71" s="2">
        <f>P71/M71</f>
        <v>2.0352403309164568</v>
      </c>
      <c r="AA71" s="13">
        <f t="shared" si="5"/>
        <v>45870</v>
      </c>
      <c r="AB71" t="str">
        <f>IF(X71&gt;=0.5,"Faixa 1",IF(X71=0,"Faixa 3","Faixa 2"))</f>
        <v>Faixa 2</v>
      </c>
      <c r="AC71">
        <v>1</v>
      </c>
      <c r="AD71" t="str">
        <f t="shared" si="6"/>
        <v>2025-3T</v>
      </c>
      <c r="AE71" s="1" t="str">
        <f t="shared" si="7"/>
        <v>Até +0,5%</v>
      </c>
      <c r="AF71" t="str">
        <f t="shared" si="8"/>
        <v>Ate 32%</v>
      </c>
      <c r="AG71" t="str">
        <f t="shared" si="9"/>
        <v>Ate 39%</v>
      </c>
      <c r="AH71" s="1"/>
    </row>
    <row r="72" spans="1:34" x14ac:dyDescent="0.45">
      <c r="A72" t="s">
        <v>212</v>
      </c>
      <c r="B72" t="s">
        <v>213</v>
      </c>
      <c r="C72" s="13">
        <v>45880</v>
      </c>
      <c r="D72" t="s">
        <v>29</v>
      </c>
      <c r="E72" t="s">
        <v>30</v>
      </c>
      <c r="F72">
        <v>1856</v>
      </c>
      <c r="G72">
        <v>222159</v>
      </c>
      <c r="H72" s="1">
        <v>8.4000000000000005E-2</v>
      </c>
      <c r="I72">
        <v>990</v>
      </c>
      <c r="J72" s="6">
        <v>172548</v>
      </c>
      <c r="K72" s="10">
        <v>0.41699999999999998</v>
      </c>
      <c r="L72">
        <v>19</v>
      </c>
      <c r="M72">
        <v>92968</v>
      </c>
      <c r="O72">
        <v>222685</v>
      </c>
      <c r="P72">
        <v>205334</v>
      </c>
      <c r="Q72" s="1">
        <v>0.23100000000000001</v>
      </c>
      <c r="R72" s="1">
        <v>0.2</v>
      </c>
      <c r="S72" s="1">
        <v>0.45100000000000001</v>
      </c>
      <c r="T72" s="1">
        <v>0.39800000000000002</v>
      </c>
      <c r="U72">
        <v>14916</v>
      </c>
      <c r="V72" s="1">
        <v>3.1E-2</v>
      </c>
      <c r="W72">
        <v>3636</v>
      </c>
      <c r="X72" s="1">
        <v>5.8000000000000003E-2</v>
      </c>
      <c r="Y72" s="1">
        <f>(O72-P72)/O72</f>
        <v>7.7917237353211932E-2</v>
      </c>
      <c r="Z72" s="2">
        <f>P72/M72</f>
        <v>2.2086524395490921</v>
      </c>
      <c r="AA72" s="13">
        <f t="shared" si="5"/>
        <v>45870</v>
      </c>
      <c r="AB72" t="str">
        <f>IF(X72&gt;=0.5,"Faixa 1",IF(X72=0,"Faixa 3","Faixa 2"))</f>
        <v>Faixa 2</v>
      </c>
      <c r="AC72">
        <v>1</v>
      </c>
      <c r="AD72" t="str">
        <f t="shared" si="6"/>
        <v>2025-3T</v>
      </c>
      <c r="AE72" s="1" t="str">
        <f t="shared" si="7"/>
        <v>Acima de +1%</v>
      </c>
      <c r="AF72" t="str">
        <f t="shared" si="8"/>
        <v>Acima de 34%</v>
      </c>
      <c r="AG72" t="str">
        <f t="shared" si="9"/>
        <v>Acima de 41%</v>
      </c>
      <c r="AH72" s="1"/>
    </row>
    <row r="73" spans="1:34" x14ac:dyDescent="0.45">
      <c r="A73" t="s">
        <v>215</v>
      </c>
      <c r="B73" t="s">
        <v>216</v>
      </c>
      <c r="C73" s="13">
        <v>45887</v>
      </c>
      <c r="D73" t="s">
        <v>34</v>
      </c>
      <c r="E73" t="s">
        <v>30</v>
      </c>
      <c r="F73">
        <v>795</v>
      </c>
      <c r="G73">
        <v>235874</v>
      </c>
      <c r="H73" s="1">
        <v>4.2999999999999997E-2</v>
      </c>
      <c r="I73">
        <v>593</v>
      </c>
      <c r="J73">
        <v>87017</v>
      </c>
      <c r="K73" s="10">
        <v>0.46800000000000003</v>
      </c>
      <c r="L73">
        <v>23</v>
      </c>
      <c r="M73">
        <v>109456</v>
      </c>
      <c r="O73">
        <v>233907</v>
      </c>
      <c r="P73">
        <v>211673</v>
      </c>
      <c r="Q73" s="1">
        <v>0.2</v>
      </c>
      <c r="R73" s="1">
        <v>0.19</v>
      </c>
      <c r="S73" s="1">
        <v>0.39300000000000002</v>
      </c>
      <c r="T73" s="1">
        <v>0.32100000000000001</v>
      </c>
      <c r="U73">
        <v>19644</v>
      </c>
      <c r="V73" s="1">
        <v>0.107</v>
      </c>
      <c r="W73">
        <v>3284</v>
      </c>
      <c r="X73" s="1">
        <v>0.38800000000000001</v>
      </c>
      <c r="Y73" s="1">
        <f>(O73-P73)/O73</f>
        <v>9.5054872235546609E-2</v>
      </c>
      <c r="Z73" s="2">
        <f>P73/M73</f>
        <v>1.9338638356965356</v>
      </c>
      <c r="AA73" s="13">
        <f t="shared" si="5"/>
        <v>45870</v>
      </c>
      <c r="AB73" t="str">
        <f>IF(X73&gt;=0.5,"Faixa 1",IF(X73=0,"Faixa 3","Faixa 2"))</f>
        <v>Faixa 2</v>
      </c>
      <c r="AC73">
        <v>1</v>
      </c>
      <c r="AD73" t="str">
        <f t="shared" si="6"/>
        <v>2025-3T</v>
      </c>
      <c r="AE73" s="1" t="str">
        <f t="shared" si="7"/>
        <v>Acima de +1%</v>
      </c>
      <c r="AF73" t="str">
        <f t="shared" si="8"/>
        <v>Ate 34%</v>
      </c>
      <c r="AG73" t="str">
        <f t="shared" si="9"/>
        <v>Ate 41%</v>
      </c>
      <c r="AH73" s="1"/>
    </row>
    <row r="74" spans="1:34" x14ac:dyDescent="0.45">
      <c r="A74" t="s">
        <v>218</v>
      </c>
      <c r="B74" t="s">
        <v>219</v>
      </c>
      <c r="C74" s="13">
        <v>45894</v>
      </c>
      <c r="D74" t="s">
        <v>60</v>
      </c>
      <c r="E74" t="s">
        <v>30</v>
      </c>
      <c r="F74">
        <v>360</v>
      </c>
      <c r="G74">
        <v>235261</v>
      </c>
      <c r="H74" s="1">
        <v>0.111</v>
      </c>
      <c r="I74">
        <v>893</v>
      </c>
      <c r="J74">
        <v>33069</v>
      </c>
      <c r="K74" s="10">
        <v>0.39900000000000002</v>
      </c>
      <c r="L74">
        <v>12</v>
      </c>
      <c r="M74">
        <v>91857</v>
      </c>
      <c r="O74">
        <v>230353</v>
      </c>
      <c r="P74">
        <v>210193</v>
      </c>
      <c r="Q74" s="1">
        <v>0.23200000000000001</v>
      </c>
      <c r="R74" s="1">
        <v>0.2</v>
      </c>
      <c r="S74" s="1">
        <v>0.41699999999999998</v>
      </c>
      <c r="T74" s="1">
        <v>0.36</v>
      </c>
      <c r="U74">
        <v>13056</v>
      </c>
      <c r="V74" s="1">
        <v>0.157</v>
      </c>
      <c r="W74">
        <v>3540</v>
      </c>
      <c r="X74" s="1">
        <v>0.188</v>
      </c>
      <c r="Y74" s="1">
        <f>(O74-P74)/O74</f>
        <v>8.7517853034256118E-2</v>
      </c>
      <c r="Z74" s="2">
        <f>P74/M74</f>
        <v>2.2882632787920354</v>
      </c>
      <c r="AA74" s="13">
        <f t="shared" si="5"/>
        <v>45870</v>
      </c>
      <c r="AB74" t="str">
        <f>IF(X74&gt;=0.5,"Faixa 1",IF(X74=0,"Faixa 3","Faixa 2"))</f>
        <v>Faixa 2</v>
      </c>
      <c r="AC74">
        <v>1</v>
      </c>
      <c r="AD74" t="str">
        <f t="shared" si="6"/>
        <v>2025-3T</v>
      </c>
      <c r="AE74" s="1" t="str">
        <f t="shared" si="7"/>
        <v>Acima de +1%</v>
      </c>
      <c r="AF74" t="str">
        <f t="shared" si="8"/>
        <v>Acima de 34%</v>
      </c>
      <c r="AG74" t="str">
        <f t="shared" si="9"/>
        <v>Acima de 41%</v>
      </c>
      <c r="AH74" s="1"/>
    </row>
    <row r="75" spans="1:34" x14ac:dyDescent="0.45">
      <c r="A75" t="s">
        <v>221</v>
      </c>
      <c r="B75" t="s">
        <v>222</v>
      </c>
      <c r="C75" s="13">
        <v>45894</v>
      </c>
      <c r="D75" t="s">
        <v>44</v>
      </c>
      <c r="E75" t="s">
        <v>30</v>
      </c>
      <c r="F75">
        <v>1675</v>
      </c>
      <c r="G75">
        <v>257696</v>
      </c>
      <c r="H75" s="1">
        <v>7.0999999999999994E-2</v>
      </c>
      <c r="I75">
        <v>1067</v>
      </c>
      <c r="J75" s="7">
        <v>168632</v>
      </c>
      <c r="K75" s="10">
        <v>0.39100000000000001</v>
      </c>
      <c r="L75">
        <v>21</v>
      </c>
      <c r="M75">
        <v>100676</v>
      </c>
      <c r="O75">
        <v>257307</v>
      </c>
      <c r="P75">
        <v>233422</v>
      </c>
      <c r="Q75" s="1">
        <v>0.217</v>
      </c>
      <c r="R75" s="1">
        <v>0.2</v>
      </c>
      <c r="S75" s="1">
        <v>0.45600000000000002</v>
      </c>
      <c r="T75" s="1">
        <v>0.39300000000000002</v>
      </c>
      <c r="U75" s="7">
        <v>26555</v>
      </c>
      <c r="V75" s="1">
        <v>5.5999999999999987E-2</v>
      </c>
      <c r="W75">
        <v>4495</v>
      </c>
      <c r="X75" s="1">
        <v>0</v>
      </c>
      <c r="Y75" s="1">
        <f>(O75-P75)/O75</f>
        <v>9.2826856634292881E-2</v>
      </c>
      <c r="Z75" s="2">
        <f>P75/M75</f>
        <v>2.3185466248162423</v>
      </c>
      <c r="AA75" s="13">
        <f t="shared" si="5"/>
        <v>45870</v>
      </c>
      <c r="AB75" t="str">
        <f>IF(X75&gt;=0.5,"Faixa 1",IF(X75=0,"Faixa 3","Faixa 2"))</f>
        <v>Faixa 3</v>
      </c>
      <c r="AC75">
        <v>1</v>
      </c>
      <c r="AD75" t="str">
        <f t="shared" si="6"/>
        <v>2025-3T</v>
      </c>
      <c r="AE75" s="1" t="str">
        <f t="shared" si="7"/>
        <v>Acima de +1%</v>
      </c>
      <c r="AF75" t="str">
        <f t="shared" si="8"/>
        <v>Acima de 34%</v>
      </c>
      <c r="AG75" t="str">
        <f t="shared" si="9"/>
        <v>Acima de 41%</v>
      </c>
      <c r="AH75" s="1"/>
    </row>
    <row r="76" spans="1:34" x14ac:dyDescent="0.45">
      <c r="A76" t="s">
        <v>223</v>
      </c>
      <c r="B76" t="s">
        <v>224</v>
      </c>
      <c r="C76" s="13">
        <v>45898</v>
      </c>
      <c r="D76" t="s">
        <v>60</v>
      </c>
      <c r="E76" t="s">
        <v>30</v>
      </c>
      <c r="F76">
        <v>708</v>
      </c>
      <c r="G76">
        <v>300596</v>
      </c>
      <c r="H76" s="1">
        <v>0.152</v>
      </c>
      <c r="I76">
        <v>3680</v>
      </c>
      <c r="J76">
        <v>70064</v>
      </c>
      <c r="K76" s="10">
        <v>0.35899999999999999</v>
      </c>
      <c r="L76">
        <v>22</v>
      </c>
      <c r="M76">
        <v>98960</v>
      </c>
      <c r="O76">
        <v>275611</v>
      </c>
      <c r="P76">
        <v>259254</v>
      </c>
      <c r="Q76" s="1">
        <v>0.19</v>
      </c>
      <c r="R76" s="1">
        <v>0.2</v>
      </c>
      <c r="S76" s="1">
        <v>0.36299999999999999</v>
      </c>
      <c r="T76" s="1">
        <v>0.32</v>
      </c>
      <c r="U76">
        <v>16151</v>
      </c>
      <c r="V76" s="1">
        <v>8.4000000000000005E-2</v>
      </c>
      <c r="W76">
        <v>5341</v>
      </c>
      <c r="X76" s="1">
        <v>0</v>
      </c>
      <c r="Y76" s="1">
        <f>(O76-P76)/O76</f>
        <v>5.9348139225212343E-2</v>
      </c>
      <c r="Z76" s="2">
        <f>P76/M76</f>
        <v>2.6197857720291027</v>
      </c>
      <c r="AA76" s="13">
        <f t="shared" si="5"/>
        <v>45870</v>
      </c>
      <c r="AB76" t="str">
        <f>IF(X76&gt;=0.5,"Faixa 1",IF(X76=0,"Faixa 3","Faixa 2"))</f>
        <v>Faixa 3</v>
      </c>
      <c r="AC76">
        <v>1</v>
      </c>
      <c r="AD76" t="str">
        <f t="shared" si="6"/>
        <v>2025-3T</v>
      </c>
      <c r="AE76" s="1" t="str">
        <f t="shared" si="7"/>
        <v>Até +0,5%</v>
      </c>
      <c r="AF76" t="str">
        <f t="shared" si="8"/>
        <v>Ate 32%</v>
      </c>
      <c r="AG76" t="str">
        <f t="shared" si="9"/>
        <v>Ate 39%</v>
      </c>
      <c r="AH76" s="1"/>
    </row>
    <row r="77" spans="1:34" x14ac:dyDescent="0.45">
      <c r="A77" t="s">
        <v>226</v>
      </c>
      <c r="B77" t="s">
        <v>227</v>
      </c>
      <c r="C77" s="13">
        <v>45901</v>
      </c>
      <c r="D77" t="s">
        <v>29</v>
      </c>
      <c r="E77" t="s">
        <v>30</v>
      </c>
      <c r="F77">
        <v>390</v>
      </c>
      <c r="G77">
        <v>264487</v>
      </c>
      <c r="H77" s="1">
        <v>0.105</v>
      </c>
      <c r="I77">
        <v>929</v>
      </c>
      <c r="J77">
        <v>40055</v>
      </c>
      <c r="K77" s="10">
        <v>0.40600000000000003</v>
      </c>
      <c r="L77">
        <v>17</v>
      </c>
      <c r="M77">
        <v>102705</v>
      </c>
      <c r="O77">
        <v>253019</v>
      </c>
      <c r="P77">
        <v>229826</v>
      </c>
      <c r="Q77" s="6">
        <v>20.100000000000001</v>
      </c>
      <c r="R77">
        <v>20</v>
      </c>
      <c r="S77" s="1">
        <v>0.38300000000000001</v>
      </c>
      <c r="T77" s="1">
        <v>0.314</v>
      </c>
      <c r="U77">
        <v>9860</v>
      </c>
      <c r="V77" s="1">
        <v>9.5000000000000001E-2</v>
      </c>
      <c r="W77">
        <v>4164</v>
      </c>
      <c r="X77" s="1">
        <v>0</v>
      </c>
      <c r="Y77" s="1">
        <f>(O77-P77)/O77</f>
        <v>9.1665052822120077E-2</v>
      </c>
      <c r="Z77" s="2">
        <f>P77/M77</f>
        <v>2.2377294192103596</v>
      </c>
      <c r="AA77" s="13">
        <f t="shared" si="5"/>
        <v>45901</v>
      </c>
      <c r="AB77" t="str">
        <f>IF(X77&gt;=0.5,"Faixa 1",IF(X77=0,"Faixa 3","Faixa 2"))</f>
        <v>Faixa 3</v>
      </c>
      <c r="AC77">
        <v>1</v>
      </c>
      <c r="AD77" t="str">
        <f t="shared" si="6"/>
        <v>2025-3T</v>
      </c>
      <c r="AE77" s="1" t="str">
        <f t="shared" si="7"/>
        <v>Acima de +1%</v>
      </c>
      <c r="AF77" t="str">
        <f t="shared" si="8"/>
        <v>Ate 32%</v>
      </c>
      <c r="AG77" t="str">
        <f t="shared" si="9"/>
        <v>Ate 39%</v>
      </c>
      <c r="AH77" s="1"/>
    </row>
    <row r="78" spans="1:34" x14ac:dyDescent="0.45">
      <c r="A78" t="s">
        <v>229</v>
      </c>
      <c r="B78" t="s">
        <v>230</v>
      </c>
      <c r="C78" s="13">
        <v>45901</v>
      </c>
      <c r="D78" t="s">
        <v>44</v>
      </c>
      <c r="E78" t="s">
        <v>35</v>
      </c>
      <c r="F78">
        <v>819</v>
      </c>
      <c r="G78">
        <v>233594</v>
      </c>
      <c r="H78" s="1">
        <v>0.08</v>
      </c>
      <c r="I78">
        <v>1082</v>
      </c>
      <c r="J78">
        <v>78305</v>
      </c>
      <c r="K78" s="10">
        <v>0.40600000000000003</v>
      </c>
      <c r="L78">
        <v>23</v>
      </c>
      <c r="M78">
        <v>95610</v>
      </c>
      <c r="O78">
        <v>235663</v>
      </c>
      <c r="P78">
        <v>215834</v>
      </c>
      <c r="Q78" s="1">
        <v>0.24</v>
      </c>
      <c r="R78" s="1">
        <v>0.2</v>
      </c>
      <c r="S78" s="1">
        <v>0.42099999999999999</v>
      </c>
      <c r="T78" s="1">
        <v>0.36</v>
      </c>
      <c r="U78">
        <v>15432</v>
      </c>
      <c r="V78">
        <v>8.1000000000000003E-2</v>
      </c>
      <c r="W78">
        <v>3248</v>
      </c>
      <c r="X78" s="1">
        <v>0.38700000000000001</v>
      </c>
      <c r="Y78" s="1">
        <f>(O78-P78)/O78</f>
        <v>8.4141337418262518E-2</v>
      </c>
      <c r="Z78" s="2">
        <f>P78/M78</f>
        <v>2.2574416901997698</v>
      </c>
      <c r="AA78" s="13">
        <f t="shared" si="5"/>
        <v>45901</v>
      </c>
      <c r="AB78" t="str">
        <f>IF(X78&gt;=0.5,"Faixa 1",IF(X78=0,"Faixa 3","Faixa 2"))</f>
        <v>Faixa 2</v>
      </c>
      <c r="AC78">
        <v>1</v>
      </c>
      <c r="AD78" t="str">
        <f t="shared" si="6"/>
        <v>2025-3T</v>
      </c>
      <c r="AE78" s="1" t="str">
        <f t="shared" si="7"/>
        <v>Acima de +1%</v>
      </c>
      <c r="AF78" t="str">
        <f t="shared" si="8"/>
        <v>Acima de 34%</v>
      </c>
      <c r="AG78" t="str">
        <f t="shared" si="9"/>
        <v>Acima de 41%</v>
      </c>
      <c r="AH78" s="1"/>
    </row>
    <row r="79" spans="1:34" x14ac:dyDescent="0.45">
      <c r="A79" t="s">
        <v>231</v>
      </c>
      <c r="B79" t="s">
        <v>232</v>
      </c>
      <c r="C79" s="13">
        <v>45905</v>
      </c>
      <c r="D79" t="s">
        <v>234</v>
      </c>
      <c r="E79" t="s">
        <v>30</v>
      </c>
      <c r="F79">
        <v>577</v>
      </c>
      <c r="G79">
        <v>248000</v>
      </c>
      <c r="H79" s="1">
        <v>8.5999999999999993E-2</v>
      </c>
      <c r="I79">
        <v>3608</v>
      </c>
      <c r="J79">
        <v>60613</v>
      </c>
      <c r="K79" s="10">
        <v>0.44600000000000001</v>
      </c>
      <c r="L79">
        <v>23</v>
      </c>
      <c r="M79">
        <v>105049</v>
      </c>
      <c r="O79">
        <v>235485</v>
      </c>
      <c r="P79">
        <v>220993</v>
      </c>
      <c r="Q79" s="1">
        <v>0.2</v>
      </c>
      <c r="R79" s="1">
        <v>0.2</v>
      </c>
      <c r="S79" s="1">
        <v>0.36499999999999999</v>
      </c>
      <c r="T79" s="1">
        <v>0.318</v>
      </c>
      <c r="U79">
        <v>9982</v>
      </c>
      <c r="V79" s="1">
        <v>7.400000000000001E-2</v>
      </c>
      <c r="W79">
        <v>3648</v>
      </c>
      <c r="X79" s="1">
        <v>0.25</v>
      </c>
      <c r="Y79" s="1">
        <f>(O79-P79)/O79</f>
        <v>6.1541074803066011E-2</v>
      </c>
      <c r="Z79" s="2">
        <f>P79/M79</f>
        <v>2.1037135051261791</v>
      </c>
      <c r="AA79" s="13">
        <f t="shared" si="5"/>
        <v>45901</v>
      </c>
      <c r="AB79" t="str">
        <f>IF(X79&gt;=0.5,"Faixa 1",IF(X79=0,"Faixa 3","Faixa 2"))</f>
        <v>Faixa 2</v>
      </c>
      <c r="AC79">
        <v>1</v>
      </c>
      <c r="AD79" t="str">
        <f t="shared" si="6"/>
        <v>2025-3T</v>
      </c>
      <c r="AE79" s="1" t="str">
        <f t="shared" si="7"/>
        <v>Até +0,5%</v>
      </c>
      <c r="AF79" t="str">
        <f t="shared" si="8"/>
        <v>Ate 32%</v>
      </c>
      <c r="AG79" t="str">
        <f t="shared" si="9"/>
        <v>Ate 39%</v>
      </c>
      <c r="AH79" s="1"/>
    </row>
    <row r="80" spans="1:34" x14ac:dyDescent="0.45">
      <c r="A80" t="s">
        <v>235</v>
      </c>
      <c r="B80" t="s">
        <v>219</v>
      </c>
      <c r="C80" s="13">
        <v>45905</v>
      </c>
      <c r="D80" t="s">
        <v>60</v>
      </c>
      <c r="E80" t="s">
        <v>30</v>
      </c>
      <c r="F80">
        <v>360</v>
      </c>
      <c r="G80">
        <v>235206</v>
      </c>
      <c r="H80" s="1">
        <v>0.111</v>
      </c>
      <c r="I80">
        <v>893</v>
      </c>
      <c r="J80">
        <v>33069</v>
      </c>
      <c r="K80" s="10">
        <v>0.39900000000000002</v>
      </c>
      <c r="L80">
        <v>12</v>
      </c>
      <c r="M80">
        <v>91857</v>
      </c>
      <c r="O80">
        <v>230288</v>
      </c>
      <c r="P80">
        <v>210142</v>
      </c>
      <c r="Q80" s="1">
        <v>0.23200000000000001</v>
      </c>
      <c r="R80" s="1">
        <v>0.2</v>
      </c>
      <c r="S80" s="1">
        <v>0.41699999999999998</v>
      </c>
      <c r="T80" s="1">
        <v>0.36</v>
      </c>
      <c r="U80">
        <v>13044</v>
      </c>
      <c r="V80" s="1">
        <v>0.157</v>
      </c>
      <c r="W80">
        <v>3539</v>
      </c>
      <c r="X80" s="1">
        <v>0.189</v>
      </c>
      <c r="Y80" s="1">
        <f>(O80-P80)/O80</f>
        <v>8.7481761967623153E-2</v>
      </c>
      <c r="Z80" s="2">
        <f>P80/M80</f>
        <v>2.2877080679752222</v>
      </c>
      <c r="AA80" s="13">
        <f t="shared" si="5"/>
        <v>45901</v>
      </c>
      <c r="AB80" t="str">
        <f>IF(X80&gt;=0.5,"Faixa 1",IF(X80=0,"Faixa 3","Faixa 2"))</f>
        <v>Faixa 2</v>
      </c>
      <c r="AC80">
        <v>1</v>
      </c>
      <c r="AD80" t="str">
        <f t="shared" si="6"/>
        <v>2025-3T</v>
      </c>
      <c r="AE80" s="1" t="str">
        <f t="shared" si="7"/>
        <v>Acima de +1%</v>
      </c>
      <c r="AF80" t="str">
        <f t="shared" si="8"/>
        <v>Acima de 34%</v>
      </c>
      <c r="AG80" t="str">
        <f t="shared" si="9"/>
        <v>Acima de 41%</v>
      </c>
      <c r="AH80" s="1"/>
    </row>
    <row r="81" spans="1:34" x14ac:dyDescent="0.45">
      <c r="A81" t="s">
        <v>236</v>
      </c>
      <c r="B81" t="s">
        <v>237</v>
      </c>
      <c r="C81" s="13">
        <v>45909</v>
      </c>
      <c r="D81" t="s">
        <v>204</v>
      </c>
      <c r="E81" t="s">
        <v>30</v>
      </c>
      <c r="F81">
        <v>302</v>
      </c>
      <c r="G81">
        <v>273172</v>
      </c>
      <c r="H81" s="1">
        <v>0.08</v>
      </c>
      <c r="I81">
        <v>1824</v>
      </c>
      <c r="J81">
        <v>33980</v>
      </c>
      <c r="K81" s="10">
        <v>0.39900000000000002</v>
      </c>
      <c r="L81">
        <v>19</v>
      </c>
      <c r="M81">
        <v>112516</v>
      </c>
      <c r="O81">
        <v>282025</v>
      </c>
      <c r="P81">
        <v>264741</v>
      </c>
      <c r="Q81" s="1">
        <v>0.21099999999999999</v>
      </c>
      <c r="R81" s="1">
        <v>0.2</v>
      </c>
      <c r="S81" s="1">
        <v>0.41199999999999998</v>
      </c>
      <c r="T81" s="1">
        <v>0.36899999999999999</v>
      </c>
      <c r="U81">
        <v>11581</v>
      </c>
      <c r="V81" s="1">
        <v>0.14000000000000001</v>
      </c>
      <c r="W81">
        <v>5177</v>
      </c>
      <c r="X81" s="1">
        <v>0</v>
      </c>
      <c r="Y81" s="1">
        <f>(O81-P81)/O81</f>
        <v>6.1285347043701796E-2</v>
      </c>
      <c r="Z81" s="2">
        <f>P81/M81</f>
        <v>2.3529186960076789</v>
      </c>
      <c r="AA81" s="13">
        <f t="shared" si="5"/>
        <v>45901</v>
      </c>
      <c r="AB81" t="str">
        <f>IF(X81&gt;=0.5,"Faixa 1",IF(X81=0,"Faixa 3","Faixa 2"))</f>
        <v>Faixa 3</v>
      </c>
      <c r="AC81">
        <v>1</v>
      </c>
      <c r="AD81" t="str">
        <f t="shared" si="6"/>
        <v>2025-3T</v>
      </c>
      <c r="AE81" s="1" t="str">
        <f t="shared" si="7"/>
        <v>Acima de +1%</v>
      </c>
      <c r="AF81" t="str">
        <f t="shared" si="8"/>
        <v>Acima de 34%</v>
      </c>
      <c r="AG81" t="str">
        <f t="shared" si="9"/>
        <v>Acima de 41%</v>
      </c>
      <c r="AH81" s="1"/>
    </row>
    <row r="82" spans="1:34" x14ac:dyDescent="0.45">
      <c r="A82" t="s">
        <v>239</v>
      </c>
      <c r="B82" t="s">
        <v>240</v>
      </c>
      <c r="C82" s="13">
        <v>45912</v>
      </c>
      <c r="D82" t="s">
        <v>29</v>
      </c>
      <c r="E82" t="s">
        <v>30</v>
      </c>
      <c r="F82">
        <v>606</v>
      </c>
      <c r="G82">
        <v>243589</v>
      </c>
      <c r="H82" s="1">
        <v>6.0999999999999999E-2</v>
      </c>
      <c r="I82">
        <v>1403</v>
      </c>
      <c r="J82">
        <v>61847</v>
      </c>
      <c r="K82" s="10">
        <v>0.43700000000000011</v>
      </c>
      <c r="L82">
        <v>20</v>
      </c>
      <c r="M82">
        <v>102058</v>
      </c>
      <c r="O82">
        <v>233407</v>
      </c>
      <c r="P82">
        <v>212734</v>
      </c>
      <c r="Q82" s="1">
        <v>0.20499999999999999</v>
      </c>
      <c r="R82" s="1">
        <v>0.2</v>
      </c>
      <c r="S82" s="1">
        <v>0.41</v>
      </c>
      <c r="T82" s="1">
        <v>0.34599999999999997</v>
      </c>
      <c r="U82">
        <v>22011</v>
      </c>
      <c r="V82" s="1">
        <v>0.14499999999999999</v>
      </c>
      <c r="W82">
        <v>3873</v>
      </c>
      <c r="X82" s="1">
        <v>0.22500000000000001</v>
      </c>
      <c r="Y82" s="1">
        <f>(O82-P82)/O82</f>
        <v>8.8570608422198133E-2</v>
      </c>
      <c r="Z82" s="2">
        <f>P82/M82</f>
        <v>2.0844421799368988</v>
      </c>
      <c r="AA82" s="13">
        <f t="shared" si="5"/>
        <v>45901</v>
      </c>
      <c r="AB82" t="str">
        <f>IF(X82&gt;=0.5,"Faixa 1",IF(X82=0,"Faixa 3","Faixa 2"))</f>
        <v>Faixa 2</v>
      </c>
      <c r="AC82">
        <v>1</v>
      </c>
      <c r="AD82" t="str">
        <f t="shared" si="6"/>
        <v>2025-3T</v>
      </c>
      <c r="AE82" s="1" t="str">
        <f t="shared" si="7"/>
        <v>Até +0,5%</v>
      </c>
      <c r="AF82" t="str">
        <f t="shared" si="8"/>
        <v>Acima de 34%</v>
      </c>
      <c r="AG82" t="str">
        <f t="shared" si="9"/>
        <v>Ate 41%</v>
      </c>
      <c r="AH82" s="1"/>
    </row>
    <row r="83" spans="1:34" x14ac:dyDescent="0.45">
      <c r="A83" t="s">
        <v>242</v>
      </c>
      <c r="B83" t="s">
        <v>243</v>
      </c>
      <c r="C83" s="13">
        <v>45915</v>
      </c>
      <c r="D83" t="s">
        <v>34</v>
      </c>
      <c r="E83" t="s">
        <v>30</v>
      </c>
      <c r="F83">
        <v>667</v>
      </c>
      <c r="G83">
        <v>275172</v>
      </c>
      <c r="H83" s="1">
        <v>4.2999999999999997E-2</v>
      </c>
      <c r="I83">
        <v>1351</v>
      </c>
      <c r="J83">
        <v>73900</v>
      </c>
      <c r="K83" s="10">
        <v>0.45500000000000002</v>
      </c>
      <c r="L83" s="7">
        <v>28</v>
      </c>
      <c r="M83">
        <v>110794</v>
      </c>
      <c r="O83">
        <v>243431</v>
      </c>
      <c r="P83">
        <v>227596</v>
      </c>
      <c r="Q83" s="8">
        <v>5.2999999999999999E-2</v>
      </c>
      <c r="R83" s="1">
        <v>0.2</v>
      </c>
      <c r="S83" s="1">
        <v>0.38</v>
      </c>
      <c r="T83" s="1">
        <v>0.33</v>
      </c>
      <c r="U83">
        <v>19378</v>
      </c>
      <c r="V83" s="1">
        <v>0.12</v>
      </c>
      <c r="W83">
        <v>3399</v>
      </c>
      <c r="X83" s="1">
        <v>0.25</v>
      </c>
      <c r="Y83" s="1">
        <f>(O83-P83)/O83</f>
        <v>6.5049233663748665E-2</v>
      </c>
      <c r="Z83" s="2">
        <f>P83/M83</f>
        <v>2.0542267631821218</v>
      </c>
      <c r="AA83" s="13">
        <f t="shared" si="5"/>
        <v>45901</v>
      </c>
      <c r="AB83" t="str">
        <f>IF(X83&gt;=0.5,"Faixa 1",IF(X83=0,"Faixa 3","Faixa 2"))</f>
        <v>Faixa 2</v>
      </c>
      <c r="AC83">
        <v>1</v>
      </c>
      <c r="AD83" t="str">
        <f t="shared" si="6"/>
        <v>2025-3T</v>
      </c>
      <c r="AE83" s="1" t="str">
        <f t="shared" si="7"/>
        <v>Até +0,5%</v>
      </c>
      <c r="AF83" t="str">
        <f t="shared" si="8"/>
        <v>Ate 34%</v>
      </c>
      <c r="AG83" t="str">
        <f t="shared" si="9"/>
        <v>Ate 39%</v>
      </c>
      <c r="AH83" s="1"/>
    </row>
    <row r="84" spans="1:34" x14ac:dyDescent="0.45">
      <c r="A84" t="s">
        <v>245</v>
      </c>
      <c r="B84" t="s">
        <v>224</v>
      </c>
      <c r="C84" s="13">
        <v>45915</v>
      </c>
      <c r="D84" t="s">
        <v>34</v>
      </c>
      <c r="E84" t="s">
        <v>30</v>
      </c>
      <c r="F84">
        <v>708</v>
      </c>
      <c r="G84">
        <v>300596</v>
      </c>
      <c r="H84" s="1">
        <v>0.152</v>
      </c>
      <c r="I84">
        <v>3680</v>
      </c>
      <c r="J84">
        <v>67588</v>
      </c>
      <c r="K84" s="10">
        <v>0.34599999999999997</v>
      </c>
      <c r="L84">
        <v>22</v>
      </c>
      <c r="M84">
        <v>95463</v>
      </c>
      <c r="O84">
        <v>275611</v>
      </c>
      <c r="P84">
        <v>259254</v>
      </c>
      <c r="Q84" s="1">
        <v>0.20100000000000001</v>
      </c>
      <c r="R84" s="1">
        <v>0.2</v>
      </c>
      <c r="S84" s="1">
        <v>0.37200000000000011</v>
      </c>
      <c r="T84" s="1">
        <v>0.33</v>
      </c>
      <c r="U84">
        <v>15553</v>
      </c>
      <c r="V84" s="1">
        <v>8.1000000000000003E-2</v>
      </c>
      <c r="W84">
        <v>5341</v>
      </c>
      <c r="X84" s="1">
        <v>0</v>
      </c>
      <c r="Y84" s="1">
        <f>(O84-P84)/O84</f>
        <v>5.9348139225212343E-2</v>
      </c>
      <c r="Z84" s="2">
        <f>P84/M84</f>
        <v>2.7157537475252194</v>
      </c>
      <c r="AA84" s="13">
        <f t="shared" si="5"/>
        <v>45901</v>
      </c>
      <c r="AB84" t="str">
        <f>IF(X84&gt;=0.5,"Faixa 1",IF(X84=0,"Faixa 3","Faixa 2"))</f>
        <v>Faixa 3</v>
      </c>
      <c r="AC84">
        <v>1</v>
      </c>
      <c r="AD84" t="str">
        <f t="shared" si="6"/>
        <v>2025-3T</v>
      </c>
      <c r="AE84" s="1" t="str">
        <f t="shared" si="7"/>
        <v>Até +0,5%</v>
      </c>
      <c r="AF84" t="str">
        <f t="shared" si="8"/>
        <v>Ate 34%</v>
      </c>
      <c r="AG84" t="str">
        <f t="shared" si="9"/>
        <v>Ate 39%</v>
      </c>
      <c r="AH84" s="1"/>
    </row>
    <row r="85" spans="1:34" x14ac:dyDescent="0.45">
      <c r="A85" t="s">
        <v>246</v>
      </c>
      <c r="B85" t="s">
        <v>150</v>
      </c>
      <c r="C85" s="13">
        <v>45915</v>
      </c>
      <c r="D85" t="s">
        <v>34</v>
      </c>
      <c r="E85" t="s">
        <v>30</v>
      </c>
      <c r="F85">
        <v>355</v>
      </c>
      <c r="G85">
        <v>199590</v>
      </c>
      <c r="H85" s="1">
        <v>5.7000000000000002E-2</v>
      </c>
      <c r="I85">
        <v>441</v>
      </c>
      <c r="J85">
        <v>32039</v>
      </c>
      <c r="K85" s="10">
        <v>0.433</v>
      </c>
      <c r="L85">
        <v>11</v>
      </c>
      <c r="M85">
        <v>90252</v>
      </c>
      <c r="O85">
        <v>208338</v>
      </c>
      <c r="P85">
        <v>186474</v>
      </c>
      <c r="Q85" s="1">
        <v>0.21099999999999999</v>
      </c>
      <c r="R85" s="1">
        <v>0.2</v>
      </c>
      <c r="S85" s="1">
        <v>0.42799999999999999</v>
      </c>
      <c r="T85" s="1">
        <v>0.35599999999999998</v>
      </c>
      <c r="U85">
        <v>14940</v>
      </c>
      <c r="V85" s="1">
        <v>0.20200000000000001</v>
      </c>
      <c r="W85">
        <v>2732</v>
      </c>
      <c r="X85" s="1">
        <v>0.40799999999999997</v>
      </c>
      <c r="Y85" s="1">
        <f>(O85-P85)/O85</f>
        <v>0.10494484923537713</v>
      </c>
      <c r="Z85" s="2">
        <f>P85/M85</f>
        <v>2.0661481186012498</v>
      </c>
      <c r="AA85" s="13">
        <f t="shared" si="5"/>
        <v>45901</v>
      </c>
      <c r="AB85" t="str">
        <f>IF(X85&gt;=0.5,"Faixa 1",IF(X85=0,"Faixa 3","Faixa 2"))</f>
        <v>Faixa 2</v>
      </c>
      <c r="AC85">
        <v>1</v>
      </c>
      <c r="AD85" t="str">
        <f t="shared" si="6"/>
        <v>2025-3T</v>
      </c>
      <c r="AE85" s="1" t="str">
        <f t="shared" si="7"/>
        <v>Acima de +1%</v>
      </c>
      <c r="AF85" t="str">
        <f t="shared" si="8"/>
        <v>Acima de 34%</v>
      </c>
      <c r="AG85" t="str">
        <f t="shared" si="9"/>
        <v>Acima de 41%</v>
      </c>
      <c r="AH85" s="1"/>
    </row>
    <row r="86" spans="1:34" x14ac:dyDescent="0.45">
      <c r="A86" t="s">
        <v>247</v>
      </c>
      <c r="B86" t="s">
        <v>97</v>
      </c>
      <c r="C86" s="13">
        <v>45915</v>
      </c>
      <c r="D86" t="s">
        <v>34</v>
      </c>
      <c r="E86" t="s">
        <v>35</v>
      </c>
      <c r="F86">
        <v>420</v>
      </c>
      <c r="G86">
        <v>255733</v>
      </c>
      <c r="H86" s="1">
        <v>0.10100000000000001</v>
      </c>
      <c r="I86">
        <v>1294</v>
      </c>
      <c r="J86">
        <v>41919</v>
      </c>
      <c r="K86" s="10">
        <v>0.4</v>
      </c>
      <c r="L86">
        <v>19</v>
      </c>
      <c r="M86">
        <v>99807</v>
      </c>
      <c r="O86">
        <v>249535</v>
      </c>
      <c r="P86">
        <v>228162</v>
      </c>
      <c r="Q86" s="1">
        <v>0.21</v>
      </c>
      <c r="R86" s="1">
        <v>0.2</v>
      </c>
      <c r="S86" s="1">
        <v>0.40300000000000002</v>
      </c>
      <c r="T86" s="1">
        <v>0.34</v>
      </c>
      <c r="U86">
        <v>10544</v>
      </c>
      <c r="V86" s="1">
        <v>0.10100000000000001</v>
      </c>
      <c r="W86">
        <v>4038</v>
      </c>
      <c r="X86" s="1">
        <v>0.19</v>
      </c>
      <c r="Y86" s="1">
        <f>(O86-P86)/O86</f>
        <v>8.5651311439277053E-2</v>
      </c>
      <c r="Z86" s="2">
        <f>P86/M86</f>
        <v>2.2860320418407527</v>
      </c>
      <c r="AA86" s="13">
        <f t="shared" si="5"/>
        <v>45901</v>
      </c>
      <c r="AB86" t="str">
        <f>IF(X86&gt;=0.5,"Faixa 1",IF(X86=0,"Faixa 3","Faixa 2"))</f>
        <v>Faixa 2</v>
      </c>
      <c r="AC86">
        <v>1</v>
      </c>
      <c r="AD86" t="str">
        <f t="shared" si="6"/>
        <v>2025-3T</v>
      </c>
      <c r="AE86" s="1" t="str">
        <f t="shared" si="7"/>
        <v>Ate +1%</v>
      </c>
      <c r="AF86" t="str">
        <f t="shared" si="8"/>
        <v>Ate 34%</v>
      </c>
      <c r="AG86" t="str">
        <f t="shared" si="9"/>
        <v>Ate 41%</v>
      </c>
      <c r="AH86" s="1"/>
    </row>
    <row r="87" spans="1:34" x14ac:dyDescent="0.45">
      <c r="A87" t="s">
        <v>248</v>
      </c>
      <c r="B87" t="s">
        <v>249</v>
      </c>
      <c r="C87" s="13">
        <v>45919</v>
      </c>
      <c r="D87" t="s">
        <v>60</v>
      </c>
      <c r="E87" t="s">
        <v>30</v>
      </c>
      <c r="F87">
        <v>451</v>
      </c>
      <c r="G87">
        <v>191417</v>
      </c>
      <c r="H87" s="1">
        <v>8.5000000000000006E-2</v>
      </c>
      <c r="I87">
        <v>539</v>
      </c>
      <c r="J87">
        <v>39914</v>
      </c>
      <c r="K87" s="10">
        <v>0.42199999999999999</v>
      </c>
      <c r="L87">
        <v>15</v>
      </c>
      <c r="M87">
        <v>88500</v>
      </c>
      <c r="O87">
        <v>209704</v>
      </c>
      <c r="P87">
        <v>183476</v>
      </c>
      <c r="Q87" s="1">
        <v>0.24</v>
      </c>
      <c r="R87" s="1">
        <v>0.2</v>
      </c>
      <c r="S87" s="1">
        <v>0.433</v>
      </c>
      <c r="T87" s="1">
        <v>0.34399999999999997</v>
      </c>
      <c r="U87">
        <v>8732</v>
      </c>
      <c r="V87" s="1">
        <v>9.3000000000000013E-2</v>
      </c>
      <c r="W87">
        <v>2780</v>
      </c>
      <c r="X87" s="1">
        <v>0.60899999999999999</v>
      </c>
      <c r="Y87" s="1">
        <f>(O87-P87)/O87</f>
        <v>0.12507152939381222</v>
      </c>
      <c r="Z87" s="2">
        <f>P87/M87</f>
        <v>2.0731751412429378</v>
      </c>
      <c r="AA87" s="13">
        <f t="shared" si="5"/>
        <v>45901</v>
      </c>
      <c r="AB87" t="str">
        <f>IF(X87&gt;=0.5,"Faixa 1",IF(X87=0,"Faixa 3","Faixa 2"))</f>
        <v>Faixa 1</v>
      </c>
      <c r="AC87">
        <v>1</v>
      </c>
      <c r="AD87" t="str">
        <f t="shared" si="6"/>
        <v>2025-3T</v>
      </c>
      <c r="AE87" s="1" t="str">
        <f t="shared" si="7"/>
        <v>Acima de +1%</v>
      </c>
      <c r="AF87" t="str">
        <f t="shared" si="8"/>
        <v>Acima de 34%</v>
      </c>
      <c r="AG87" t="str">
        <f t="shared" si="9"/>
        <v>Acima de 41%</v>
      </c>
      <c r="AH87" s="1"/>
    </row>
    <row r="88" spans="1:34" x14ac:dyDescent="0.45">
      <c r="A88" t="s">
        <v>251</v>
      </c>
      <c r="B88" t="s">
        <v>252</v>
      </c>
      <c r="C88" s="13">
        <v>45922</v>
      </c>
      <c r="D88" t="s">
        <v>168</v>
      </c>
      <c r="E88" t="s">
        <v>30</v>
      </c>
      <c r="F88">
        <v>1092</v>
      </c>
      <c r="G88">
        <v>254177</v>
      </c>
      <c r="H88" s="1">
        <v>7.2999999999999995E-2</v>
      </c>
      <c r="I88">
        <v>1319</v>
      </c>
      <c r="J88">
        <v>119357</v>
      </c>
      <c r="K88" s="10">
        <v>0.44299999999999989</v>
      </c>
      <c r="L88">
        <v>22</v>
      </c>
      <c r="M88">
        <v>109301</v>
      </c>
      <c r="O88">
        <v>246884</v>
      </c>
      <c r="P88">
        <v>225723</v>
      </c>
      <c r="Q88" s="1">
        <v>0.20499999999999999</v>
      </c>
      <c r="R88" s="1">
        <v>0.2</v>
      </c>
      <c r="S88" s="1">
        <v>0.39300000000000002</v>
      </c>
      <c r="T88" s="1">
        <v>0.32900000000000001</v>
      </c>
      <c r="U88">
        <v>24717</v>
      </c>
      <c r="V88" s="1">
        <v>8.199999999999999E-2</v>
      </c>
      <c r="W88">
        <v>3717</v>
      </c>
      <c r="X88" s="1">
        <v>0.222</v>
      </c>
      <c r="Y88" s="1">
        <f>(O88-P88)/O88</f>
        <v>8.5712318335736615E-2</v>
      </c>
      <c r="Z88" s="2">
        <f>P88/M88</f>
        <v>2.0651503645895279</v>
      </c>
      <c r="AA88" s="13">
        <f t="shared" si="5"/>
        <v>45901</v>
      </c>
      <c r="AB88" t="str">
        <f>IF(X88&gt;=0.5,"Faixa 1",IF(X88=0,"Faixa 3","Faixa 2"))</f>
        <v>Faixa 2</v>
      </c>
      <c r="AC88">
        <v>1</v>
      </c>
      <c r="AD88" t="str">
        <f t="shared" si="6"/>
        <v>2025-3T</v>
      </c>
      <c r="AE88" s="1" t="str">
        <f t="shared" si="7"/>
        <v>Até +0,5%</v>
      </c>
      <c r="AF88" t="str">
        <f t="shared" si="8"/>
        <v>Ate 34%</v>
      </c>
      <c r="AG88" t="str">
        <f t="shared" si="9"/>
        <v>Ate 41%</v>
      </c>
      <c r="AH88" s="1"/>
    </row>
    <row r="89" spans="1:34" x14ac:dyDescent="0.45">
      <c r="A89" t="s">
        <v>254</v>
      </c>
      <c r="B89" t="s">
        <v>255</v>
      </c>
      <c r="C89" s="13">
        <v>45922</v>
      </c>
      <c r="D89" t="s">
        <v>168</v>
      </c>
      <c r="E89" t="s">
        <v>30</v>
      </c>
      <c r="F89">
        <v>605</v>
      </c>
      <c r="G89">
        <v>244380</v>
      </c>
      <c r="H89" s="1">
        <v>0.106</v>
      </c>
      <c r="I89">
        <v>25</v>
      </c>
      <c r="J89">
        <v>58311</v>
      </c>
      <c r="K89" s="10">
        <v>0.41299999999999998</v>
      </c>
      <c r="L89">
        <v>21</v>
      </c>
      <c r="M89">
        <v>96381</v>
      </c>
      <c r="O89">
        <v>233565</v>
      </c>
      <c r="P89">
        <v>215464</v>
      </c>
      <c r="Q89" s="1">
        <v>0.218</v>
      </c>
      <c r="R89" s="1">
        <v>0.2</v>
      </c>
      <c r="S89" s="1">
        <v>0.373</v>
      </c>
      <c r="T89" s="1">
        <v>0.314</v>
      </c>
      <c r="U89">
        <v>14001</v>
      </c>
      <c r="V89" s="1">
        <v>9.0999999999999998E-2</v>
      </c>
      <c r="W89">
        <v>3486</v>
      </c>
      <c r="X89" s="1">
        <v>0.32</v>
      </c>
      <c r="Y89" s="1">
        <f>(O89-P89)/O89</f>
        <v>7.7498769079271293E-2</v>
      </c>
      <c r="Z89" s="2">
        <f>P89/M89</f>
        <v>2.235544350027495</v>
      </c>
      <c r="AA89" s="13">
        <f t="shared" si="5"/>
        <v>45901</v>
      </c>
      <c r="AB89" t="str">
        <f>IF(X89&gt;=0.5,"Faixa 1",IF(X89=0,"Faixa 3","Faixa 2"))</f>
        <v>Faixa 2</v>
      </c>
      <c r="AC89">
        <v>1</v>
      </c>
      <c r="AD89" t="str">
        <f t="shared" si="6"/>
        <v>2025-3T</v>
      </c>
      <c r="AE89" s="1" t="str">
        <f t="shared" si="7"/>
        <v>Acima de +1%</v>
      </c>
      <c r="AF89" t="str">
        <f t="shared" si="8"/>
        <v>Ate 32%</v>
      </c>
      <c r="AG89" t="str">
        <f t="shared" si="9"/>
        <v>Ate 39%</v>
      </c>
      <c r="AH89" s="1"/>
    </row>
    <row r="90" spans="1:34" x14ac:dyDescent="0.45">
      <c r="A90" t="s">
        <v>256</v>
      </c>
      <c r="B90" t="s">
        <v>257</v>
      </c>
      <c r="C90" s="13">
        <v>45922</v>
      </c>
      <c r="D90" t="s">
        <v>34</v>
      </c>
      <c r="E90" t="s">
        <v>83</v>
      </c>
      <c r="F90">
        <v>180</v>
      </c>
      <c r="G90">
        <v>209222</v>
      </c>
      <c r="H90" s="1">
        <v>3.5000000000000003E-2</v>
      </c>
      <c r="I90">
        <v>248</v>
      </c>
      <c r="J90">
        <v>15646</v>
      </c>
      <c r="K90" s="10">
        <v>0.44600000000000001</v>
      </c>
      <c r="L90">
        <v>8</v>
      </c>
      <c r="M90">
        <v>86923</v>
      </c>
      <c r="O90">
        <v>194856</v>
      </c>
      <c r="P90">
        <v>177581</v>
      </c>
      <c r="Q90" s="1">
        <v>0.249</v>
      </c>
      <c r="R90" s="1">
        <v>0.2</v>
      </c>
      <c r="S90" s="1">
        <v>0.46</v>
      </c>
      <c r="T90" s="1">
        <v>0.40500000000000003</v>
      </c>
      <c r="U90">
        <v>9058</v>
      </c>
      <c r="V90" s="1">
        <v>0.26100000000000001</v>
      </c>
      <c r="W90">
        <v>2796</v>
      </c>
      <c r="X90" s="1">
        <v>0.51900000000000002</v>
      </c>
      <c r="Y90" s="1">
        <f>(O90-P90)/O90</f>
        <v>8.8655212054029639E-2</v>
      </c>
      <c r="Z90" s="2">
        <f>P90/M90</f>
        <v>2.0429690645743936</v>
      </c>
      <c r="AA90" s="13">
        <f t="shared" si="5"/>
        <v>45901</v>
      </c>
      <c r="AB90" t="str">
        <f>IF(X90&gt;=0.5,"Faixa 1",IF(X90=0,"Faixa 3","Faixa 2"))</f>
        <v>Faixa 1</v>
      </c>
      <c r="AC90">
        <v>1</v>
      </c>
      <c r="AD90" t="str">
        <f t="shared" si="6"/>
        <v>2025-3T</v>
      </c>
      <c r="AE90" s="1" t="str">
        <f t="shared" si="7"/>
        <v>Acima de +1%</v>
      </c>
      <c r="AF90" t="str">
        <f t="shared" si="8"/>
        <v>Acima de 34%</v>
      </c>
      <c r="AG90" t="str">
        <f t="shared" si="9"/>
        <v>Acima de 41%</v>
      </c>
      <c r="AH90" s="1"/>
    </row>
    <row r="91" spans="1:34" x14ac:dyDescent="0.45">
      <c r="A91" t="s">
        <v>258</v>
      </c>
      <c r="B91" t="s">
        <v>259</v>
      </c>
      <c r="C91" s="13">
        <v>45925</v>
      </c>
      <c r="D91" t="s">
        <v>234</v>
      </c>
      <c r="E91" t="s">
        <v>30</v>
      </c>
      <c r="F91">
        <v>642</v>
      </c>
      <c r="G91">
        <v>269717</v>
      </c>
      <c r="H91" s="1">
        <v>0.08</v>
      </c>
      <c r="I91">
        <v>1618</v>
      </c>
      <c r="J91">
        <v>72330</v>
      </c>
      <c r="K91" s="10">
        <v>0.41499999999999998</v>
      </c>
      <c r="L91">
        <v>23</v>
      </c>
      <c r="M91">
        <v>112664</v>
      </c>
      <c r="O91">
        <v>271451</v>
      </c>
      <c r="P91">
        <v>248101</v>
      </c>
      <c r="Q91" s="1">
        <v>0.20699999999999999</v>
      </c>
      <c r="R91" s="1">
        <v>0.2</v>
      </c>
      <c r="S91" s="1">
        <v>0.40300000000000002</v>
      </c>
      <c r="T91" s="1">
        <v>0.33900000000000002</v>
      </c>
      <c r="U91">
        <v>17174</v>
      </c>
      <c r="V91" s="1">
        <v>0.1</v>
      </c>
      <c r="W91">
        <v>4886</v>
      </c>
      <c r="X91" s="1">
        <v>0</v>
      </c>
      <c r="Y91" s="1">
        <f>(O91-P91)/O91</f>
        <v>8.6019207886506216E-2</v>
      </c>
      <c r="Z91" s="2">
        <f>P91/M91</f>
        <v>2.2021320031243343</v>
      </c>
      <c r="AA91" s="13">
        <f t="shared" si="5"/>
        <v>45901</v>
      </c>
      <c r="AB91" t="str">
        <f>IF(X91&gt;=0.5,"Faixa 1",IF(X91=0,"Faixa 3","Faixa 2"))</f>
        <v>Faixa 3</v>
      </c>
      <c r="AC91">
        <v>1</v>
      </c>
      <c r="AD91" t="str">
        <f t="shared" si="6"/>
        <v>2025-3T</v>
      </c>
      <c r="AE91" s="1" t="str">
        <f t="shared" si="7"/>
        <v>Ate +1%</v>
      </c>
      <c r="AF91" t="str">
        <f t="shared" si="8"/>
        <v>Ate 34%</v>
      </c>
      <c r="AG91" t="str">
        <f t="shared" si="9"/>
        <v>Ate 41%</v>
      </c>
      <c r="AH91" s="1"/>
    </row>
    <row r="92" spans="1:34" x14ac:dyDescent="0.45">
      <c r="A92" t="s">
        <v>261</v>
      </c>
      <c r="B92" t="s">
        <v>207</v>
      </c>
      <c r="C92" s="13">
        <v>45925</v>
      </c>
      <c r="D92" t="s">
        <v>34</v>
      </c>
      <c r="E92" t="s">
        <v>35</v>
      </c>
      <c r="F92">
        <v>696</v>
      </c>
      <c r="G92">
        <v>232598</v>
      </c>
      <c r="H92" s="1">
        <v>0.06</v>
      </c>
      <c r="I92">
        <v>793</v>
      </c>
      <c r="J92">
        <v>72544</v>
      </c>
      <c r="K92" s="10">
        <v>0.46300000000000002</v>
      </c>
      <c r="L92">
        <v>22</v>
      </c>
      <c r="M92">
        <v>104230</v>
      </c>
      <c r="O92">
        <v>224978</v>
      </c>
      <c r="P92">
        <v>202871</v>
      </c>
      <c r="Q92" s="1">
        <v>0.20100000000000001</v>
      </c>
      <c r="R92" s="1">
        <v>0.2</v>
      </c>
      <c r="S92" s="1">
        <v>0.38400000000000001</v>
      </c>
      <c r="T92" s="1">
        <v>0.308</v>
      </c>
      <c r="U92">
        <v>19280</v>
      </c>
      <c r="V92" s="1">
        <v>0.124</v>
      </c>
      <c r="W92">
        <v>3243</v>
      </c>
      <c r="X92" s="1">
        <v>0.33300000000000002</v>
      </c>
      <c r="Y92" s="1">
        <f>(O92-P92)/O92</f>
        <v>9.8262941265368164E-2</v>
      </c>
      <c r="Z92" s="2">
        <f>P92/M92</f>
        <v>1.9463782020531517</v>
      </c>
      <c r="AA92" s="13">
        <f t="shared" si="5"/>
        <v>45901</v>
      </c>
      <c r="AB92" t="str">
        <f>IF(X92&gt;=0.5,"Faixa 1",IF(X92=0,"Faixa 3","Faixa 2"))</f>
        <v>Faixa 2</v>
      </c>
      <c r="AC92">
        <v>1</v>
      </c>
      <c r="AD92" t="str">
        <f t="shared" si="6"/>
        <v>2025-3T</v>
      </c>
      <c r="AE92" s="1" t="str">
        <f t="shared" si="7"/>
        <v>Até +0,5%</v>
      </c>
      <c r="AF92" t="str">
        <f t="shared" si="8"/>
        <v>Ate 32%</v>
      </c>
      <c r="AG92" t="str">
        <f t="shared" si="9"/>
        <v>Ate 39%</v>
      </c>
      <c r="AH92" s="1"/>
    </row>
    <row r="93" spans="1:34" x14ac:dyDescent="0.45">
      <c r="A93" t="s">
        <v>262</v>
      </c>
      <c r="B93" t="s">
        <v>263</v>
      </c>
      <c r="C93" s="13">
        <v>45925</v>
      </c>
      <c r="D93" t="s">
        <v>29</v>
      </c>
      <c r="E93" t="s">
        <v>30</v>
      </c>
      <c r="F93">
        <v>467</v>
      </c>
      <c r="G93">
        <v>264000</v>
      </c>
      <c r="H93" s="1">
        <v>7.2000000000000008E-2</v>
      </c>
      <c r="I93">
        <v>1941</v>
      </c>
      <c r="J93">
        <v>48780</v>
      </c>
      <c r="K93" s="10">
        <v>0.4</v>
      </c>
      <c r="L93">
        <v>19</v>
      </c>
      <c r="M93">
        <v>104455</v>
      </c>
      <c r="O93">
        <v>261029</v>
      </c>
      <c r="P93">
        <v>237203</v>
      </c>
      <c r="Q93" s="1">
        <v>0.20100000000000001</v>
      </c>
      <c r="R93" s="1">
        <v>0.2</v>
      </c>
      <c r="S93" s="1">
        <v>0.42099999999999999</v>
      </c>
      <c r="T93" s="1">
        <v>0.35599999999999998</v>
      </c>
      <c r="U93">
        <v>23167</v>
      </c>
      <c r="V93" s="1">
        <v>0.17899999999999999</v>
      </c>
      <c r="W93">
        <v>5199</v>
      </c>
      <c r="X93" s="1">
        <v>0</v>
      </c>
      <c r="Y93" s="1">
        <f>(O93-P93)/O93</f>
        <v>9.127721440912695E-2</v>
      </c>
      <c r="Z93" s="2">
        <f>P93/M93</f>
        <v>2.2708630510746253</v>
      </c>
      <c r="AA93" s="13">
        <f t="shared" si="5"/>
        <v>45901</v>
      </c>
      <c r="AB93" t="str">
        <f>IF(X93&gt;=0.5,"Faixa 1",IF(X93=0,"Faixa 3","Faixa 2"))</f>
        <v>Faixa 3</v>
      </c>
      <c r="AC93">
        <v>1</v>
      </c>
      <c r="AD93" t="str">
        <f t="shared" si="6"/>
        <v>2025-3T</v>
      </c>
      <c r="AE93" s="1" t="str">
        <f t="shared" si="7"/>
        <v>Até +0,5%</v>
      </c>
      <c r="AF93" t="str">
        <f t="shared" si="8"/>
        <v>Acima de 34%</v>
      </c>
      <c r="AG93" t="str">
        <f t="shared" si="9"/>
        <v>Acima de 41%</v>
      </c>
      <c r="AH93" s="1"/>
    </row>
    <row r="94" spans="1:34" x14ac:dyDescent="0.45">
      <c r="A94" t="s">
        <v>264</v>
      </c>
      <c r="B94" t="s">
        <v>148</v>
      </c>
      <c r="C94" s="13">
        <v>45925</v>
      </c>
      <c r="D94" t="s">
        <v>29</v>
      </c>
      <c r="E94" t="s">
        <v>30</v>
      </c>
      <c r="F94">
        <v>800</v>
      </c>
      <c r="G94">
        <v>264285</v>
      </c>
      <c r="H94" s="1">
        <v>6.5000000000000002E-2</v>
      </c>
      <c r="I94">
        <v>1264</v>
      </c>
      <c r="J94">
        <v>90807</v>
      </c>
      <c r="K94" s="10">
        <v>0.45800000000000002</v>
      </c>
      <c r="L94">
        <v>19</v>
      </c>
      <c r="M94">
        <v>113509</v>
      </c>
      <c r="O94">
        <v>247938</v>
      </c>
      <c r="P94">
        <v>227805</v>
      </c>
      <c r="Q94" s="1">
        <v>0.183</v>
      </c>
      <c r="R94" s="1">
        <v>0.2</v>
      </c>
      <c r="S94" s="1">
        <v>0.38100000000000001</v>
      </c>
      <c r="T94" s="1">
        <v>0.32200000000000001</v>
      </c>
      <c r="U94">
        <v>23030</v>
      </c>
      <c r="V94" s="1">
        <v>0.105</v>
      </c>
      <c r="W94">
        <v>4094</v>
      </c>
      <c r="X94" s="1">
        <v>8.8000000000000009E-2</v>
      </c>
      <c r="Y94" s="1">
        <f>(O94-P94)/O94</f>
        <v>8.1201752050915954E-2</v>
      </c>
      <c r="Z94" s="2">
        <f>P94/M94</f>
        <v>2.0069333709221295</v>
      </c>
      <c r="AA94" s="13">
        <f t="shared" si="5"/>
        <v>45901</v>
      </c>
      <c r="AB94" t="str">
        <f>IF(X94&gt;=0.5,"Faixa 1",IF(X94=0,"Faixa 3","Faixa 2"))</f>
        <v>Faixa 2</v>
      </c>
      <c r="AC94">
        <v>1</v>
      </c>
      <c r="AD94" t="str">
        <f t="shared" si="6"/>
        <v>2025-3T</v>
      </c>
      <c r="AE94" s="1" t="str">
        <f t="shared" si="7"/>
        <v>Até +0,5%</v>
      </c>
      <c r="AF94" t="str">
        <f t="shared" si="8"/>
        <v>Ate 34%</v>
      </c>
      <c r="AG94" t="str">
        <f t="shared" si="9"/>
        <v>Ate 39%</v>
      </c>
      <c r="AH94" s="1"/>
    </row>
    <row r="95" spans="1:34" x14ac:dyDescent="0.45">
      <c r="A95" t="s">
        <v>265</v>
      </c>
      <c r="B95" t="s">
        <v>266</v>
      </c>
      <c r="C95" s="13">
        <v>45925</v>
      </c>
      <c r="D95" t="s">
        <v>267</v>
      </c>
      <c r="E95" t="s">
        <v>30</v>
      </c>
      <c r="F95">
        <v>1006</v>
      </c>
      <c r="G95">
        <v>298961</v>
      </c>
      <c r="H95" s="1">
        <v>0.12</v>
      </c>
      <c r="I95">
        <v>3531</v>
      </c>
      <c r="J95">
        <v>104494</v>
      </c>
      <c r="K95" s="10">
        <v>0.39500000000000002</v>
      </c>
      <c r="L95">
        <v>25</v>
      </c>
      <c r="M95">
        <v>103871</v>
      </c>
      <c r="O95">
        <v>263043</v>
      </c>
      <c r="P95">
        <v>241767</v>
      </c>
      <c r="Q95" s="1">
        <v>0.19600000000000001</v>
      </c>
      <c r="R95" s="1">
        <v>0.2</v>
      </c>
      <c r="S95" s="1">
        <v>0.38</v>
      </c>
      <c r="T95" s="1">
        <v>0.318</v>
      </c>
      <c r="U95">
        <v>20482</v>
      </c>
      <c r="V95" s="1">
        <v>7.0000000000000007E-2</v>
      </c>
      <c r="W95">
        <v>4442</v>
      </c>
      <c r="X95" s="1">
        <v>0.14299999999999999</v>
      </c>
      <c r="Y95" s="1">
        <f>(O95-P95)/O95</f>
        <v>8.0884114004174223E-2</v>
      </c>
      <c r="Z95" s="2">
        <f>P95/M95</f>
        <v>2.3275697740466539</v>
      </c>
      <c r="AA95" s="13">
        <f t="shared" si="5"/>
        <v>45901</v>
      </c>
      <c r="AB95" t="str">
        <f>IF(X95&gt;=0.5,"Faixa 1",IF(X95=0,"Faixa 3","Faixa 2"))</f>
        <v>Faixa 2</v>
      </c>
      <c r="AC95">
        <v>1</v>
      </c>
      <c r="AD95" t="str">
        <f t="shared" si="6"/>
        <v>2025-3T</v>
      </c>
      <c r="AE95" s="1" t="str">
        <f t="shared" si="7"/>
        <v>Até +0,5%</v>
      </c>
      <c r="AF95" t="str">
        <f t="shared" si="8"/>
        <v>Ate 32%</v>
      </c>
      <c r="AG95" t="str">
        <f t="shared" si="9"/>
        <v>Ate 39%</v>
      </c>
      <c r="AH95" s="1"/>
    </row>
    <row r="96" spans="1:34" x14ac:dyDescent="0.45">
      <c r="A96" t="s">
        <v>268</v>
      </c>
      <c r="B96" t="s">
        <v>269</v>
      </c>
      <c r="C96" s="13">
        <v>45925</v>
      </c>
      <c r="D96" t="s">
        <v>204</v>
      </c>
      <c r="E96" t="s">
        <v>30</v>
      </c>
      <c r="F96">
        <v>743</v>
      </c>
      <c r="G96">
        <v>218078</v>
      </c>
      <c r="H96" s="4">
        <v>5.5E-2</v>
      </c>
      <c r="I96">
        <v>984</v>
      </c>
      <c r="J96">
        <v>71217</v>
      </c>
      <c r="K96" s="10">
        <v>0.439</v>
      </c>
      <c r="L96">
        <v>23</v>
      </c>
      <c r="M96">
        <v>95851</v>
      </c>
      <c r="O96">
        <v>218350</v>
      </c>
      <c r="P96">
        <v>197521</v>
      </c>
      <c r="Q96" s="4">
        <v>0.20399999999999999</v>
      </c>
      <c r="R96" s="3">
        <v>0.2</v>
      </c>
      <c r="S96" s="1">
        <v>0.40200000000000002</v>
      </c>
      <c r="T96" s="1">
        <v>0.33100000000000002</v>
      </c>
      <c r="U96">
        <v>22360</v>
      </c>
      <c r="V96" s="4">
        <v>0.13800000000000001</v>
      </c>
      <c r="W96">
        <v>2550</v>
      </c>
      <c r="X96" s="4">
        <v>0.69099999999999995</v>
      </c>
      <c r="Y96" s="1">
        <f>(O96-P96)/O96</f>
        <v>9.5392718113121139E-2</v>
      </c>
      <c r="Z96" s="2">
        <f>P96/M96</f>
        <v>2.0607088084631355</v>
      </c>
      <c r="AA96" s="13">
        <f t="shared" si="5"/>
        <v>45901</v>
      </c>
      <c r="AB96" t="str">
        <f>IF(X96&gt;=0.5,"Faixa 1",IF(X96=0,"Faixa 3","Faixa 2"))</f>
        <v>Faixa 1</v>
      </c>
      <c r="AC96">
        <v>1</v>
      </c>
      <c r="AD96" t="str">
        <f t="shared" si="6"/>
        <v>2025-3T</v>
      </c>
      <c r="AE96" s="1" t="str">
        <f t="shared" si="7"/>
        <v>Até +0,5%</v>
      </c>
      <c r="AF96" t="str">
        <f t="shared" si="8"/>
        <v>Ate 34%</v>
      </c>
      <c r="AG96" t="str">
        <f t="shared" si="9"/>
        <v>Ate 41%</v>
      </c>
      <c r="AH96" s="1"/>
    </row>
    <row r="97" spans="1:34" x14ac:dyDescent="0.45">
      <c r="A97" t="s">
        <v>270</v>
      </c>
      <c r="B97" t="s">
        <v>271</v>
      </c>
      <c r="C97" s="13">
        <v>45929</v>
      </c>
      <c r="D97" t="s">
        <v>29</v>
      </c>
      <c r="E97" t="s">
        <v>30</v>
      </c>
      <c r="F97">
        <v>1455</v>
      </c>
      <c r="G97">
        <v>209696</v>
      </c>
      <c r="H97" s="1">
        <v>0.104</v>
      </c>
      <c r="I97">
        <v>767</v>
      </c>
      <c r="J97" s="7">
        <v>123180</v>
      </c>
      <c r="K97" s="10">
        <v>0.38200000000000001</v>
      </c>
      <c r="L97">
        <v>14</v>
      </c>
      <c r="M97">
        <v>84660</v>
      </c>
      <c r="O97">
        <v>221850</v>
      </c>
      <c r="P97">
        <v>194087</v>
      </c>
      <c r="Q97" s="9">
        <v>0.26100000000000001</v>
      </c>
      <c r="R97" s="3">
        <v>0.2</v>
      </c>
      <c r="S97" s="1">
        <v>0.44500000000000001</v>
      </c>
      <c r="T97" s="1">
        <v>0.35799999999999998</v>
      </c>
      <c r="U97">
        <v>14187</v>
      </c>
      <c r="V97" s="1">
        <v>3.9E-2</v>
      </c>
      <c r="W97">
        <v>2940</v>
      </c>
      <c r="X97" s="1">
        <v>0.43200000000000011</v>
      </c>
      <c r="Y97" s="1">
        <f>(O97-P97)/O97</f>
        <v>0.12514311471715123</v>
      </c>
      <c r="Z97" s="2">
        <f>P97/M97</f>
        <v>2.2925466572171036</v>
      </c>
      <c r="AA97" s="13">
        <f t="shared" si="5"/>
        <v>45901</v>
      </c>
      <c r="AB97" t="str">
        <f>IF(X97&gt;=0.5,"Faixa 1",IF(X97=0,"Faixa 3","Faixa 2"))</f>
        <v>Faixa 2</v>
      </c>
      <c r="AC97">
        <v>1</v>
      </c>
      <c r="AD97" t="str">
        <f t="shared" si="6"/>
        <v>2025-3T</v>
      </c>
      <c r="AE97" s="1" t="str">
        <f t="shared" si="7"/>
        <v>Acima de +1%</v>
      </c>
      <c r="AF97" t="str">
        <f t="shared" si="8"/>
        <v>Acima de 34%</v>
      </c>
      <c r="AG97" t="str">
        <f t="shared" si="9"/>
        <v>Acima de 41%</v>
      </c>
      <c r="AH97" s="1"/>
    </row>
    <row r="98" spans="1:34" x14ac:dyDescent="0.45">
      <c r="A98" t="s">
        <v>273</v>
      </c>
      <c r="B98" t="s">
        <v>274</v>
      </c>
      <c r="C98" s="13">
        <v>45929</v>
      </c>
      <c r="D98" t="s">
        <v>29</v>
      </c>
      <c r="E98" t="s">
        <v>30</v>
      </c>
      <c r="F98">
        <v>309</v>
      </c>
      <c r="G98">
        <v>271212</v>
      </c>
      <c r="H98" s="1">
        <v>0.115</v>
      </c>
      <c r="I98">
        <v>986</v>
      </c>
      <c r="J98">
        <v>33311</v>
      </c>
      <c r="K98" s="10">
        <v>0.41899999999999998</v>
      </c>
      <c r="L98">
        <v>16</v>
      </c>
      <c r="M98">
        <v>107801</v>
      </c>
      <c r="O98">
        <v>257264</v>
      </c>
      <c r="P98">
        <v>236858</v>
      </c>
      <c r="Q98" s="1">
        <v>0.20499999999999999</v>
      </c>
      <c r="R98" s="1">
        <v>0.2</v>
      </c>
      <c r="S98" s="1">
        <v>0.38800000000000001</v>
      </c>
      <c r="T98" s="1">
        <v>0.33</v>
      </c>
      <c r="U98">
        <v>8822</v>
      </c>
      <c r="V98" s="1">
        <v>0.107</v>
      </c>
      <c r="W98">
        <v>4122</v>
      </c>
      <c r="X98" s="1">
        <v>0</v>
      </c>
      <c r="Y98" s="1">
        <f>(O98-P98)/O98</f>
        <v>7.9319298463834814E-2</v>
      </c>
      <c r="Z98" s="2">
        <f>P98/M98</f>
        <v>2.1971781337835457</v>
      </c>
      <c r="AA98" s="13">
        <f t="shared" si="5"/>
        <v>45901</v>
      </c>
      <c r="AB98" t="str">
        <f>IF(X98&gt;=0.5,"Faixa 1",IF(X98=0,"Faixa 3","Faixa 2"))</f>
        <v>Faixa 3</v>
      </c>
      <c r="AC98">
        <v>1</v>
      </c>
      <c r="AD98" t="str">
        <f t="shared" si="6"/>
        <v>2025-3T</v>
      </c>
      <c r="AE98" s="1" t="str">
        <f t="shared" si="7"/>
        <v>Até +0,5%</v>
      </c>
      <c r="AF98" t="str">
        <f t="shared" si="8"/>
        <v>Ate 34%</v>
      </c>
      <c r="AG98" t="str">
        <f t="shared" si="9"/>
        <v>Ate 39%</v>
      </c>
      <c r="AH98" s="1"/>
    </row>
    <row r="99" spans="1:34" x14ac:dyDescent="0.45">
      <c r="A99" t="s">
        <v>275</v>
      </c>
      <c r="B99" t="s">
        <v>276</v>
      </c>
      <c r="C99" s="13">
        <v>45929</v>
      </c>
      <c r="D99" t="s">
        <v>29</v>
      </c>
      <c r="E99" t="s">
        <v>30</v>
      </c>
      <c r="F99">
        <v>513</v>
      </c>
      <c r="G99">
        <v>255185</v>
      </c>
      <c r="H99" s="1">
        <v>7.4999999999999997E-2</v>
      </c>
      <c r="I99">
        <v>1071</v>
      </c>
      <c r="J99">
        <v>57495</v>
      </c>
      <c r="K99" s="10">
        <v>0.43200000000000011</v>
      </c>
      <c r="L99" s="7">
        <v>28</v>
      </c>
      <c r="M99">
        <v>112076</v>
      </c>
      <c r="O99">
        <v>259162</v>
      </c>
      <c r="P99">
        <v>238156</v>
      </c>
      <c r="Q99" s="1">
        <v>0.2</v>
      </c>
      <c r="R99" s="1">
        <v>0.2</v>
      </c>
      <c r="S99" s="1">
        <v>0.38900000000000001</v>
      </c>
      <c r="T99" s="1">
        <v>0.32700000000000001</v>
      </c>
      <c r="U99">
        <v>13609</v>
      </c>
      <c r="V99" s="1">
        <v>9.5000000000000001E-2</v>
      </c>
      <c r="W99">
        <v>3493</v>
      </c>
      <c r="X99" s="1">
        <v>0.127</v>
      </c>
      <c r="Y99" s="1">
        <f>(O99-P99)/O99</f>
        <v>8.1053549517290338E-2</v>
      </c>
      <c r="Z99" s="2">
        <f>P99/M99</f>
        <v>2.1249509261572506</v>
      </c>
      <c r="AA99" s="13">
        <f t="shared" si="5"/>
        <v>45901</v>
      </c>
      <c r="AB99" t="str">
        <f>IF(X99&gt;=0.5,"Faixa 1",IF(X99=0,"Faixa 3","Faixa 2"))</f>
        <v>Faixa 2</v>
      </c>
      <c r="AC99">
        <v>1</v>
      </c>
      <c r="AD99" t="str">
        <f t="shared" si="6"/>
        <v>2025-3T</v>
      </c>
      <c r="AE99" s="1" t="str">
        <f t="shared" si="7"/>
        <v>Até +0,5%</v>
      </c>
      <c r="AF99" t="str">
        <f t="shared" si="8"/>
        <v>Ate 34%</v>
      </c>
      <c r="AG99" t="str">
        <f t="shared" si="9"/>
        <v>Ate 39%</v>
      </c>
      <c r="AH99" s="1"/>
    </row>
    <row r="100" spans="1:34" x14ac:dyDescent="0.45">
      <c r="A100" t="s">
        <v>277</v>
      </c>
      <c r="B100" t="s">
        <v>240</v>
      </c>
      <c r="C100" s="13">
        <v>45936</v>
      </c>
      <c r="D100" t="s">
        <v>29</v>
      </c>
      <c r="E100" t="s">
        <v>30</v>
      </c>
      <c r="F100">
        <v>606</v>
      </c>
      <c r="G100">
        <v>243589</v>
      </c>
      <c r="H100" s="1">
        <v>6.0999999999999999E-2</v>
      </c>
      <c r="I100">
        <v>1403</v>
      </c>
      <c r="J100">
        <v>61847</v>
      </c>
      <c r="K100" s="10">
        <v>0.43700000000000011</v>
      </c>
      <c r="L100">
        <v>20</v>
      </c>
      <c r="M100">
        <v>102058</v>
      </c>
      <c r="O100">
        <v>233407</v>
      </c>
      <c r="P100">
        <v>212734</v>
      </c>
      <c r="Q100" s="1">
        <v>0.2</v>
      </c>
      <c r="R100" s="1">
        <v>0.2</v>
      </c>
      <c r="S100" s="1">
        <v>0.40699999999999997</v>
      </c>
      <c r="T100" s="1">
        <v>0.34300000000000003</v>
      </c>
      <c r="U100">
        <v>21879</v>
      </c>
      <c r="V100" s="1">
        <v>0.14599999999999999</v>
      </c>
      <c r="W100">
        <v>3873</v>
      </c>
      <c r="X100" s="1">
        <v>0.13700000000000001</v>
      </c>
      <c r="Y100" s="1">
        <f>(O100-P100)/O100</f>
        <v>8.8570608422198133E-2</v>
      </c>
      <c r="Z100" s="2">
        <f>P100/M100</f>
        <v>2.0844421799368988</v>
      </c>
      <c r="AA100" s="13">
        <f t="shared" si="5"/>
        <v>45931</v>
      </c>
      <c r="AB100" t="str">
        <f>IF(X100&gt;=0.5,"Faixa 1",IF(X100=0,"Faixa 3","Faixa 2"))</f>
        <v>Faixa 2</v>
      </c>
      <c r="AC100">
        <v>1</v>
      </c>
      <c r="AD100" t="str">
        <f t="shared" si="6"/>
        <v>2025-4T</v>
      </c>
      <c r="AE100" s="1" t="str">
        <f t="shared" si="7"/>
        <v>Até +0,5%</v>
      </c>
      <c r="AF100" t="str">
        <f t="shared" si="8"/>
        <v>Acima de 34%</v>
      </c>
      <c r="AG100" t="str">
        <f t="shared" si="9"/>
        <v>Ate 41%</v>
      </c>
      <c r="AH100" s="1"/>
    </row>
    <row r="101" spans="1:34" x14ac:dyDescent="0.45">
      <c r="A101" t="s">
        <v>280</v>
      </c>
      <c r="B101" t="s">
        <v>249</v>
      </c>
      <c r="C101" s="13">
        <v>45947</v>
      </c>
      <c r="D101" t="s">
        <v>34</v>
      </c>
      <c r="E101" t="s">
        <v>30</v>
      </c>
      <c r="F101">
        <v>451</v>
      </c>
      <c r="G101">
        <v>191417</v>
      </c>
      <c r="H101" s="1">
        <v>8.5000000000000006E-2</v>
      </c>
      <c r="I101">
        <v>547</v>
      </c>
      <c r="J101">
        <v>39399</v>
      </c>
      <c r="K101" s="10">
        <v>0.41099999999999998</v>
      </c>
      <c r="L101">
        <v>18</v>
      </c>
      <c r="M101">
        <v>87360</v>
      </c>
      <c r="O101">
        <v>212750</v>
      </c>
      <c r="P101">
        <v>186523</v>
      </c>
      <c r="Q101" s="1">
        <v>0.248</v>
      </c>
      <c r="R101" s="1">
        <v>0.2</v>
      </c>
      <c r="S101" s="1">
        <v>0.44400000000000001</v>
      </c>
      <c r="T101" s="1">
        <v>0.35599999999999998</v>
      </c>
      <c r="U101">
        <v>7918</v>
      </c>
      <c r="V101" s="1">
        <v>8.3000000000000004E-2</v>
      </c>
      <c r="W101">
        <v>2780</v>
      </c>
      <c r="X101" s="1">
        <v>0.60899999999999999</v>
      </c>
      <c r="Y101" s="1">
        <f>(O101-P101)/O101</f>
        <v>0.12327614571092832</v>
      </c>
      <c r="Z101" s="2">
        <f>P101/M101</f>
        <v>2.1351076007326006</v>
      </c>
      <c r="AA101" s="13">
        <f t="shared" si="5"/>
        <v>45931</v>
      </c>
      <c r="AB101" t="str">
        <f>IF(X101&gt;=0.5,"Faixa 1",IF(X101=0,"Faixa 3","Faixa 2"))</f>
        <v>Faixa 1</v>
      </c>
      <c r="AC101">
        <v>1</v>
      </c>
      <c r="AD101" t="str">
        <f t="shared" si="6"/>
        <v>2025-4T</v>
      </c>
      <c r="AE101" s="1" t="str">
        <f t="shared" si="7"/>
        <v>Acima de +1%</v>
      </c>
      <c r="AF101" t="str">
        <f t="shared" si="8"/>
        <v>Acima de 34%</v>
      </c>
      <c r="AG101" t="str">
        <f t="shared" si="9"/>
        <v>Acima de 41%</v>
      </c>
      <c r="AH101" s="1"/>
    </row>
    <row r="102" spans="1:34" x14ac:dyDescent="0.45">
      <c r="A102" t="s">
        <v>282</v>
      </c>
      <c r="B102" t="s">
        <v>283</v>
      </c>
      <c r="C102" s="13">
        <v>45950</v>
      </c>
      <c r="D102" t="s">
        <v>285</v>
      </c>
      <c r="E102" t="s">
        <v>30</v>
      </c>
      <c r="F102">
        <v>370</v>
      </c>
      <c r="G102">
        <v>286589</v>
      </c>
      <c r="H102" s="1">
        <v>0.128</v>
      </c>
      <c r="I102" s="6">
        <v>6266</v>
      </c>
      <c r="J102">
        <v>37334</v>
      </c>
      <c r="K102" s="10">
        <v>0.36</v>
      </c>
      <c r="L102">
        <v>18</v>
      </c>
      <c r="M102">
        <v>100902</v>
      </c>
      <c r="O102">
        <v>280420</v>
      </c>
      <c r="P102">
        <v>258705</v>
      </c>
      <c r="Q102" s="1">
        <v>0.21099999999999999</v>
      </c>
      <c r="R102" s="1">
        <v>0.2</v>
      </c>
      <c r="S102" s="1">
        <v>0.40400000000000003</v>
      </c>
      <c r="T102" s="1">
        <v>0.34799999999999998</v>
      </c>
      <c r="U102">
        <v>13492</v>
      </c>
      <c r="V102" s="1">
        <v>0.128</v>
      </c>
      <c r="W102">
        <v>5436</v>
      </c>
      <c r="X102" s="1">
        <v>0</v>
      </c>
      <c r="Y102" s="1">
        <f>(O102-P102)/O102</f>
        <v>7.7437415305613003E-2</v>
      </c>
      <c r="Z102" s="2">
        <f>P102/M102</f>
        <v>2.563923410834275</v>
      </c>
      <c r="AA102" s="13">
        <f t="shared" si="5"/>
        <v>45931</v>
      </c>
      <c r="AB102" t="str">
        <f>IF(X102&gt;=0.5,"Faixa 1",IF(X102=0,"Faixa 3","Faixa 2"))</f>
        <v>Faixa 3</v>
      </c>
      <c r="AC102">
        <v>1</v>
      </c>
      <c r="AD102" t="str">
        <f t="shared" si="6"/>
        <v>2025-4T</v>
      </c>
      <c r="AE102" s="1" t="str">
        <f t="shared" si="7"/>
        <v>Acima de +1%</v>
      </c>
      <c r="AF102" t="str">
        <f t="shared" si="8"/>
        <v>Acima de 34%</v>
      </c>
      <c r="AG102" t="str">
        <f t="shared" si="9"/>
        <v>Ate 41%</v>
      </c>
      <c r="AH102" s="1"/>
    </row>
    <row r="103" spans="1:34" x14ac:dyDescent="0.45">
      <c r="A103" t="s">
        <v>286</v>
      </c>
      <c r="B103" t="s">
        <v>287</v>
      </c>
      <c r="C103" s="13">
        <v>45950</v>
      </c>
      <c r="D103" t="s">
        <v>204</v>
      </c>
      <c r="E103" t="s">
        <v>30</v>
      </c>
      <c r="F103">
        <v>267</v>
      </c>
      <c r="G103">
        <v>202670</v>
      </c>
      <c r="H103" s="1">
        <v>9.6999999999999989E-2</v>
      </c>
      <c r="I103">
        <v>472</v>
      </c>
      <c r="J103">
        <v>23759</v>
      </c>
      <c r="K103" s="10">
        <v>0.43099999999999999</v>
      </c>
      <c r="L103">
        <v>11</v>
      </c>
      <c r="M103">
        <v>88986</v>
      </c>
      <c r="O103">
        <v>206466</v>
      </c>
      <c r="P103">
        <v>183907</v>
      </c>
      <c r="Q103" s="1">
        <v>0.20499999999999999</v>
      </c>
      <c r="R103" s="1">
        <v>0.2</v>
      </c>
      <c r="S103" s="1">
        <v>0.39600000000000002</v>
      </c>
      <c r="T103" s="1">
        <v>0.32500000000000001</v>
      </c>
      <c r="U103">
        <v>9356</v>
      </c>
      <c r="V103" s="1">
        <v>0.16900000000000001</v>
      </c>
      <c r="W103">
        <v>2784</v>
      </c>
      <c r="X103" s="1">
        <v>0.621</v>
      </c>
      <c r="Y103" s="1">
        <f>(O103-P103)/O103</f>
        <v>0.10926254201660322</v>
      </c>
      <c r="Z103" s="2">
        <f>P103/M103</f>
        <v>2.0666958847459149</v>
      </c>
      <c r="AA103" s="13">
        <f t="shared" si="5"/>
        <v>45931</v>
      </c>
      <c r="AB103" t="str">
        <f>IF(X103&gt;=0.5,"Faixa 1",IF(X103=0,"Faixa 3","Faixa 2"))</f>
        <v>Faixa 1</v>
      </c>
      <c r="AC103">
        <v>1</v>
      </c>
      <c r="AD103" t="str">
        <f t="shared" si="6"/>
        <v>2025-4T</v>
      </c>
      <c r="AE103" s="1" t="str">
        <f t="shared" si="7"/>
        <v>Até +0,5%</v>
      </c>
      <c r="AF103" t="str">
        <f t="shared" si="8"/>
        <v>Ate 34%</v>
      </c>
      <c r="AG103" t="str">
        <f t="shared" si="9"/>
        <v>Ate 41%</v>
      </c>
      <c r="AH103" s="1"/>
    </row>
    <row r="104" spans="1:34" x14ac:dyDescent="0.45">
      <c r="A104" t="s">
        <v>288</v>
      </c>
      <c r="B104" t="s">
        <v>289</v>
      </c>
      <c r="C104" s="13">
        <v>45950</v>
      </c>
      <c r="D104" t="s">
        <v>29</v>
      </c>
      <c r="E104" t="s">
        <v>30</v>
      </c>
      <c r="F104">
        <v>200</v>
      </c>
      <c r="G104">
        <v>308124</v>
      </c>
      <c r="H104" s="1">
        <v>0.107</v>
      </c>
      <c r="I104">
        <v>3398</v>
      </c>
      <c r="J104">
        <v>23680</v>
      </c>
      <c r="K104" s="10">
        <v>0.40699999999999997</v>
      </c>
      <c r="L104">
        <v>16</v>
      </c>
      <c r="M104">
        <v>118400</v>
      </c>
      <c r="O104">
        <v>291095</v>
      </c>
      <c r="P104">
        <v>270714</v>
      </c>
      <c r="Q104" s="1">
        <v>0.214</v>
      </c>
      <c r="R104" s="1">
        <v>0.2</v>
      </c>
      <c r="S104" s="1">
        <v>0.39300000000000002</v>
      </c>
      <c r="T104" s="1">
        <v>0.34300000000000003</v>
      </c>
      <c r="U104">
        <v>7008</v>
      </c>
      <c r="V104" s="1">
        <v>0.115</v>
      </c>
      <c r="W104">
        <v>5766</v>
      </c>
      <c r="X104" s="1">
        <v>0</v>
      </c>
      <c r="Y104" s="1">
        <f>(O104-P104)/O104</f>
        <v>7.001494357512153E-2</v>
      </c>
      <c r="Z104" s="2">
        <f>P104/M104</f>
        <v>2.2864358108108109</v>
      </c>
      <c r="AA104" s="13">
        <f t="shared" si="5"/>
        <v>45931</v>
      </c>
      <c r="AB104" t="str">
        <f>IF(X104&gt;=0.5,"Faixa 1",IF(X104=0,"Faixa 3","Faixa 2"))</f>
        <v>Faixa 3</v>
      </c>
      <c r="AC104">
        <v>1</v>
      </c>
      <c r="AD104" t="str">
        <f t="shared" si="6"/>
        <v>2025-4T</v>
      </c>
      <c r="AE104" s="1" t="str">
        <f t="shared" si="7"/>
        <v>Acima de +1%</v>
      </c>
      <c r="AF104" t="str">
        <f t="shared" si="8"/>
        <v>Acima de 34%</v>
      </c>
      <c r="AG104" t="str">
        <f t="shared" si="9"/>
        <v>Ate 41%</v>
      </c>
      <c r="AH104" s="1"/>
    </row>
    <row r="105" spans="1:34" x14ac:dyDescent="0.45">
      <c r="A105" t="s">
        <v>290</v>
      </c>
      <c r="B105" t="s">
        <v>291</v>
      </c>
      <c r="C105" s="13">
        <v>45954</v>
      </c>
      <c r="D105" t="s">
        <v>204</v>
      </c>
      <c r="E105" t="s">
        <v>293</v>
      </c>
      <c r="F105">
        <v>501</v>
      </c>
      <c r="G105">
        <v>223600</v>
      </c>
      <c r="H105" s="1">
        <v>0.108</v>
      </c>
      <c r="I105">
        <v>1865</v>
      </c>
      <c r="J105">
        <v>48155</v>
      </c>
      <c r="K105" s="10">
        <v>0.40500000000000003</v>
      </c>
      <c r="L105">
        <v>23</v>
      </c>
      <c r="M105">
        <v>96118</v>
      </c>
      <c r="O105">
        <v>237507</v>
      </c>
      <c r="P105">
        <v>217323</v>
      </c>
      <c r="Q105" s="1">
        <v>0.189</v>
      </c>
      <c r="R105" s="1">
        <v>0.2</v>
      </c>
      <c r="S105" s="1">
        <v>0.39700000000000002</v>
      </c>
      <c r="T105" s="1">
        <v>0.33300000000000002</v>
      </c>
      <c r="U105">
        <v>11489</v>
      </c>
      <c r="V105" s="1">
        <v>9.8000000000000004E-2</v>
      </c>
      <c r="W105">
        <v>3595</v>
      </c>
      <c r="X105" s="1">
        <v>0.17899999999999999</v>
      </c>
      <c r="Y105" s="1">
        <f>(O105-P105)/O105</f>
        <v>8.4982758402910225E-2</v>
      </c>
      <c r="Z105" s="2">
        <f>P105/M105</f>
        <v>2.2610021015834705</v>
      </c>
      <c r="AA105" s="13">
        <f t="shared" si="5"/>
        <v>45931</v>
      </c>
      <c r="AB105" t="str">
        <f>IF(X105&gt;=0.5,"Faixa 1",IF(X105=0,"Faixa 3","Faixa 2"))</f>
        <v>Faixa 2</v>
      </c>
      <c r="AC105">
        <v>1</v>
      </c>
      <c r="AD105" t="str">
        <f t="shared" si="6"/>
        <v>2025-4T</v>
      </c>
      <c r="AE105" s="1" t="str">
        <f t="shared" si="7"/>
        <v>Até +0,5%</v>
      </c>
      <c r="AF105" t="str">
        <f t="shared" si="8"/>
        <v>Ate 34%</v>
      </c>
      <c r="AG105" t="str">
        <f t="shared" si="9"/>
        <v>Ate 41%</v>
      </c>
      <c r="AH105" s="1"/>
    </row>
    <row r="106" spans="1:34" x14ac:dyDescent="0.45">
      <c r="A106" t="s">
        <v>295</v>
      </c>
      <c r="B106" t="s">
        <v>296</v>
      </c>
      <c r="C106" s="13">
        <v>45957</v>
      </c>
      <c r="D106" t="s">
        <v>29</v>
      </c>
      <c r="E106" t="s">
        <v>30</v>
      </c>
      <c r="F106">
        <v>394</v>
      </c>
      <c r="G106">
        <v>233883</v>
      </c>
      <c r="H106" s="1">
        <v>7.2000000000000008E-2</v>
      </c>
      <c r="I106">
        <v>1200</v>
      </c>
      <c r="J106">
        <v>39003</v>
      </c>
      <c r="K106" s="10">
        <v>0.41699999999999998</v>
      </c>
      <c r="L106">
        <v>17</v>
      </c>
      <c r="M106">
        <v>98992</v>
      </c>
      <c r="O106">
        <v>237240</v>
      </c>
      <c r="P106">
        <v>212937</v>
      </c>
      <c r="Q106" s="3">
        <v>0.2</v>
      </c>
      <c r="R106" s="3">
        <v>0.2</v>
      </c>
      <c r="S106" s="1">
        <v>0.42499999999999999</v>
      </c>
      <c r="T106" s="1">
        <v>0.35199999999999998</v>
      </c>
      <c r="U106">
        <v>15666</v>
      </c>
      <c r="V106" s="1">
        <v>0.16300000000000001</v>
      </c>
      <c r="W106">
        <v>3415</v>
      </c>
      <c r="X106" s="1">
        <v>0.189</v>
      </c>
      <c r="Y106" s="1">
        <f>(O106-P106)/O106</f>
        <v>0.1024405665149216</v>
      </c>
      <c r="Z106" s="2">
        <f>P106/M106</f>
        <v>2.1510526103119445</v>
      </c>
      <c r="AA106" s="13">
        <f t="shared" si="5"/>
        <v>45931</v>
      </c>
      <c r="AB106" t="str">
        <f>IF(X106&gt;=0.5,"Faixa 1",IF(X106=0,"Faixa 3","Faixa 2"))</f>
        <v>Faixa 2</v>
      </c>
      <c r="AC106">
        <v>1</v>
      </c>
      <c r="AD106" t="str">
        <f t="shared" si="6"/>
        <v>2025-4T</v>
      </c>
      <c r="AE106" s="1" t="str">
        <f t="shared" si="7"/>
        <v>Até +0,5%</v>
      </c>
      <c r="AF106" t="str">
        <f t="shared" si="8"/>
        <v>Acima de 34%</v>
      </c>
      <c r="AG106" t="str">
        <f t="shared" si="9"/>
        <v>Acima de 41%</v>
      </c>
      <c r="AH106" s="1"/>
    </row>
    <row r="107" spans="1:34" x14ac:dyDescent="0.45">
      <c r="A107" t="s">
        <v>298</v>
      </c>
      <c r="B107" t="s">
        <v>87</v>
      </c>
      <c r="C107" s="13">
        <v>45957</v>
      </c>
      <c r="D107" t="s">
        <v>29</v>
      </c>
      <c r="E107" t="s">
        <v>30</v>
      </c>
      <c r="F107">
        <v>214</v>
      </c>
      <c r="G107">
        <v>267028</v>
      </c>
      <c r="H107" s="1">
        <v>0.11700000000000001</v>
      </c>
      <c r="I107">
        <v>2194</v>
      </c>
      <c r="J107">
        <v>22610</v>
      </c>
      <c r="K107" s="10">
        <v>0.40500000000000003</v>
      </c>
      <c r="L107">
        <v>15</v>
      </c>
      <c r="M107">
        <v>105655</v>
      </c>
      <c r="O107">
        <v>260967</v>
      </c>
      <c r="P107">
        <v>240270</v>
      </c>
      <c r="Q107" s="1">
        <v>0.2</v>
      </c>
      <c r="R107" s="1">
        <v>0.2</v>
      </c>
      <c r="S107" s="1">
        <v>0.38800000000000001</v>
      </c>
      <c r="T107" s="1">
        <v>0.33</v>
      </c>
      <c r="U107">
        <v>7186</v>
      </c>
      <c r="V107" s="1">
        <v>0.124</v>
      </c>
      <c r="W107">
        <v>4256</v>
      </c>
      <c r="X107" s="1">
        <v>0</v>
      </c>
      <c r="Y107" s="1">
        <f>(O107-P107)/O107</f>
        <v>7.930887813401695E-2</v>
      </c>
      <c r="Z107" s="2">
        <f>P107/M107</f>
        <v>2.2740996640007571</v>
      </c>
      <c r="AA107" s="13">
        <f t="shared" si="5"/>
        <v>45931</v>
      </c>
      <c r="AB107" t="str">
        <f>IF(X107&gt;=0.5,"Faixa 1",IF(X107=0,"Faixa 3","Faixa 2"))</f>
        <v>Faixa 3</v>
      </c>
      <c r="AC107">
        <v>1</v>
      </c>
      <c r="AD107" t="str">
        <f t="shared" si="6"/>
        <v>2025-4T</v>
      </c>
      <c r="AE107" s="1" t="str">
        <f t="shared" si="7"/>
        <v>Até +0,5%</v>
      </c>
      <c r="AF107" t="str">
        <f t="shared" si="8"/>
        <v>Ate 34%</v>
      </c>
      <c r="AG107" t="str">
        <f t="shared" si="9"/>
        <v>Ate 39%</v>
      </c>
      <c r="AH107" s="1"/>
    </row>
    <row r="108" spans="1:34" x14ac:dyDescent="0.45">
      <c r="A108" t="s">
        <v>299</v>
      </c>
      <c r="B108" t="s">
        <v>300</v>
      </c>
      <c r="C108" s="13">
        <v>45964</v>
      </c>
      <c r="D108" t="s">
        <v>302</v>
      </c>
      <c r="E108" t="s">
        <v>30</v>
      </c>
      <c r="F108">
        <v>634</v>
      </c>
      <c r="G108">
        <v>288139</v>
      </c>
      <c r="H108" s="5">
        <v>0.158</v>
      </c>
      <c r="I108" s="7">
        <v>5027</v>
      </c>
      <c r="J108">
        <v>63007</v>
      </c>
      <c r="K108" s="10">
        <v>0.36699999999999999</v>
      </c>
      <c r="L108">
        <v>17</v>
      </c>
      <c r="M108">
        <v>99380</v>
      </c>
      <c r="O108">
        <v>270979</v>
      </c>
      <c r="P108">
        <v>250150</v>
      </c>
      <c r="Q108" s="1">
        <v>0.2</v>
      </c>
      <c r="R108" s="1">
        <v>0.2</v>
      </c>
      <c r="S108" s="1">
        <v>0.39500000000000002</v>
      </c>
      <c r="T108" s="1">
        <v>0.33900000000000002</v>
      </c>
      <c r="U108">
        <v>9106</v>
      </c>
      <c r="V108" s="1">
        <v>4.8000000000000001E-2</v>
      </c>
      <c r="W108">
        <v>5299</v>
      </c>
      <c r="X108" s="1">
        <v>0</v>
      </c>
      <c r="Y108" s="1">
        <f>(O108-P108)/O108</f>
        <v>7.6865734983153675E-2</v>
      </c>
      <c r="Z108" s="2">
        <f>P108/M108</f>
        <v>2.5171060575568527</v>
      </c>
      <c r="AA108" s="13">
        <f t="shared" si="5"/>
        <v>45962</v>
      </c>
      <c r="AB108" t="str">
        <f>IF(X108&gt;=0.5,"Faixa 1",IF(X108=0,"Faixa 3","Faixa 2"))</f>
        <v>Faixa 3</v>
      </c>
      <c r="AC108">
        <v>1</v>
      </c>
      <c r="AD108" t="str">
        <f t="shared" si="6"/>
        <v>2025-4T</v>
      </c>
      <c r="AE108" s="1" t="str">
        <f t="shared" si="7"/>
        <v>Até +0,5%</v>
      </c>
      <c r="AF108" t="str">
        <f t="shared" si="8"/>
        <v>Ate 34%</v>
      </c>
      <c r="AG108" t="str">
        <f t="shared" si="9"/>
        <v>Ate 41%</v>
      </c>
      <c r="AH108" s="1"/>
    </row>
    <row r="109" spans="1:34" x14ac:dyDescent="0.45">
      <c r="A109" t="s">
        <v>303</v>
      </c>
      <c r="B109" t="s">
        <v>304</v>
      </c>
      <c r="C109" s="13">
        <v>45964</v>
      </c>
      <c r="D109" t="s">
        <v>34</v>
      </c>
      <c r="E109" t="s">
        <v>30</v>
      </c>
      <c r="F109">
        <v>443</v>
      </c>
      <c r="G109">
        <v>248192</v>
      </c>
      <c r="H109" s="1">
        <v>6.8000000000000005E-2</v>
      </c>
      <c r="I109">
        <v>1165</v>
      </c>
      <c r="J109">
        <v>43930</v>
      </c>
      <c r="K109" s="10">
        <v>0.41199999999999998</v>
      </c>
      <c r="L109">
        <v>20</v>
      </c>
      <c r="M109">
        <v>99165</v>
      </c>
      <c r="O109">
        <v>240959</v>
      </c>
      <c r="P109">
        <v>221344</v>
      </c>
      <c r="Q109" s="1">
        <v>0.221</v>
      </c>
      <c r="R109" s="1">
        <v>0.20899999999999999</v>
      </c>
      <c r="S109" s="1">
        <v>0.43099999999999999</v>
      </c>
      <c r="T109" s="1">
        <v>0.374</v>
      </c>
      <c r="U109">
        <v>14065</v>
      </c>
      <c r="V109" s="1">
        <v>0.13500000000000001</v>
      </c>
      <c r="W109">
        <v>3403</v>
      </c>
      <c r="X109" s="1">
        <v>0.39300000000000002</v>
      </c>
      <c r="Y109" s="1">
        <f>(O109-P109)/O109</f>
        <v>8.1403890288389305E-2</v>
      </c>
      <c r="Z109" s="2">
        <f>P109/M109</f>
        <v>2.2320778500478999</v>
      </c>
      <c r="AA109" s="13">
        <f t="shared" si="5"/>
        <v>45962</v>
      </c>
      <c r="AB109" t="str">
        <f>IF(X109&gt;=0.5,"Faixa 1",IF(X109=0,"Faixa 3","Faixa 2"))</f>
        <v>Faixa 2</v>
      </c>
      <c r="AC109">
        <v>1</v>
      </c>
      <c r="AD109" t="str">
        <f t="shared" si="6"/>
        <v>2025-4T</v>
      </c>
      <c r="AE109" s="1" t="str">
        <f t="shared" si="7"/>
        <v>Acima de +1%</v>
      </c>
      <c r="AF109" t="str">
        <f t="shared" si="8"/>
        <v>Acima de 34%</v>
      </c>
      <c r="AG109" t="str">
        <f t="shared" si="9"/>
        <v>Acima de 41%</v>
      </c>
      <c r="AH109" s="1"/>
    </row>
    <row r="110" spans="1:34" x14ac:dyDescent="0.45">
      <c r="A110" t="s">
        <v>305</v>
      </c>
      <c r="B110" t="s">
        <v>306</v>
      </c>
      <c r="C110" s="13">
        <v>45968</v>
      </c>
      <c r="D110" t="s">
        <v>29</v>
      </c>
      <c r="E110" t="s">
        <v>30</v>
      </c>
      <c r="F110">
        <v>600</v>
      </c>
      <c r="G110">
        <v>234</v>
      </c>
      <c r="H110" s="1">
        <v>7.0000000000000007E-2</v>
      </c>
      <c r="I110">
        <v>848</v>
      </c>
      <c r="J110">
        <v>61094</v>
      </c>
      <c r="K110" s="10">
        <v>0.46</v>
      </c>
      <c r="L110">
        <v>17</v>
      </c>
      <c r="M110">
        <v>101823.4</v>
      </c>
      <c r="O110">
        <v>220700</v>
      </c>
      <c r="P110">
        <v>201227</v>
      </c>
      <c r="Q110" s="1">
        <v>0.2</v>
      </c>
      <c r="R110" s="1">
        <v>0.2</v>
      </c>
      <c r="S110" s="1">
        <v>0.4</v>
      </c>
      <c r="T110" s="1">
        <v>0.33200000000000002</v>
      </c>
      <c r="U110">
        <v>13557</v>
      </c>
      <c r="V110" s="3">
        <v>0.09</v>
      </c>
      <c r="W110">
        <v>3373</v>
      </c>
      <c r="X110" s="1">
        <v>0.29799999999999999</v>
      </c>
      <c r="Y110" s="1">
        <f>(O110-P110)/O110</f>
        <v>8.8232895333031261E-2</v>
      </c>
      <c r="Z110" s="2">
        <f>P110/M110</f>
        <v>1.9762353250824467</v>
      </c>
      <c r="AA110" s="13">
        <f t="shared" si="5"/>
        <v>45962</v>
      </c>
      <c r="AB110" t="str">
        <f>IF(X110&gt;=0.5,"Faixa 1",IF(X110=0,"Faixa 3","Faixa 2"))</f>
        <v>Faixa 2</v>
      </c>
      <c r="AC110">
        <v>1</v>
      </c>
      <c r="AD110" t="str">
        <f t="shared" si="6"/>
        <v>2025-4T</v>
      </c>
      <c r="AE110" s="1" t="str">
        <f t="shared" si="7"/>
        <v>Até +0,5%</v>
      </c>
      <c r="AF110" t="str">
        <f t="shared" si="8"/>
        <v>Ate 34%</v>
      </c>
      <c r="AG110" t="str">
        <f t="shared" si="9"/>
        <v>Ate 41%</v>
      </c>
      <c r="AH110" s="1"/>
    </row>
    <row r="111" spans="1:34" x14ac:dyDescent="0.45">
      <c r="A111" t="s">
        <v>308</v>
      </c>
      <c r="B111" t="s">
        <v>309</v>
      </c>
      <c r="C111" s="13">
        <v>45968</v>
      </c>
      <c r="D111" t="s">
        <v>60</v>
      </c>
      <c r="E111" t="s">
        <v>35</v>
      </c>
      <c r="F111">
        <v>730</v>
      </c>
      <c r="G111">
        <v>199353</v>
      </c>
      <c r="H111" s="1">
        <v>5.2999999999999999E-2</v>
      </c>
      <c r="I111">
        <v>190</v>
      </c>
      <c r="J111">
        <v>68743</v>
      </c>
      <c r="K111" s="10">
        <v>0.47899999999999998</v>
      </c>
      <c r="L111">
        <v>15</v>
      </c>
      <c r="M111">
        <v>94168</v>
      </c>
      <c r="O111">
        <v>196668</v>
      </c>
      <c r="P111">
        <v>178743</v>
      </c>
      <c r="Q111" s="1">
        <v>0.20399999999999999</v>
      </c>
      <c r="R111" s="1">
        <v>0.2</v>
      </c>
      <c r="S111" s="1">
        <v>0.39300000000000002</v>
      </c>
      <c r="T111" s="1">
        <v>0.32700000000000001</v>
      </c>
      <c r="U111">
        <v>13249</v>
      </c>
      <c r="V111" s="1">
        <v>0.09</v>
      </c>
      <c r="W111">
        <v>2376</v>
      </c>
      <c r="X111" s="1">
        <v>0.71700000000000008</v>
      </c>
      <c r="Y111" s="1">
        <f>(O111-P111)/O111</f>
        <v>9.1143449874916099E-2</v>
      </c>
      <c r="Z111" s="2">
        <f>P111/M111</f>
        <v>1.8981288760513126</v>
      </c>
      <c r="AA111" s="13">
        <f t="shared" si="5"/>
        <v>45962</v>
      </c>
      <c r="AB111" t="str">
        <f>IF(X111&gt;=0.5,"Faixa 1",IF(X111=0,"Faixa 3","Faixa 2"))</f>
        <v>Faixa 1</v>
      </c>
      <c r="AC111">
        <v>1</v>
      </c>
      <c r="AD111" t="str">
        <f t="shared" si="6"/>
        <v>2025-4T</v>
      </c>
      <c r="AE111" s="1" t="str">
        <f t="shared" si="7"/>
        <v>Até +0,5%</v>
      </c>
      <c r="AF111" t="str">
        <f t="shared" si="8"/>
        <v>Ate 34%</v>
      </c>
      <c r="AG111" t="str">
        <f t="shared" si="9"/>
        <v>Ate 41%</v>
      </c>
      <c r="AH111" s="1"/>
    </row>
    <row r="112" spans="1:34" x14ac:dyDescent="0.45">
      <c r="A112" t="s">
        <v>310</v>
      </c>
      <c r="B112" t="s">
        <v>311</v>
      </c>
      <c r="C112" s="13">
        <v>45968</v>
      </c>
      <c r="D112" t="s">
        <v>312</v>
      </c>
      <c r="E112" t="s">
        <v>30</v>
      </c>
      <c r="F112">
        <v>500</v>
      </c>
      <c r="G112">
        <v>261764</v>
      </c>
      <c r="H112" s="1">
        <v>0.152</v>
      </c>
      <c r="I112">
        <v>835</v>
      </c>
      <c r="J112">
        <v>46405</v>
      </c>
      <c r="K112" s="10">
        <v>0.36499999999999999</v>
      </c>
      <c r="L112">
        <v>13</v>
      </c>
      <c r="M112">
        <v>92809</v>
      </c>
      <c r="O112">
        <v>254553</v>
      </c>
      <c r="P112">
        <v>235302</v>
      </c>
      <c r="Q112" s="1">
        <v>0.2</v>
      </c>
      <c r="R112" s="1">
        <v>0.2</v>
      </c>
      <c r="S112" s="1">
        <v>0.39700000000000002</v>
      </c>
      <c r="T112" s="1">
        <v>0.34300000000000003</v>
      </c>
      <c r="U112">
        <v>19818</v>
      </c>
      <c r="V112" s="1">
        <v>0.158</v>
      </c>
      <c r="W112">
        <v>5019</v>
      </c>
      <c r="X112" s="1">
        <v>0</v>
      </c>
      <c r="Y112" s="1">
        <f>(O112-P112)/O112</f>
        <v>7.5626686780356153E-2</v>
      </c>
      <c r="Z112" s="2">
        <f>P112/M112</f>
        <v>2.535336012671185</v>
      </c>
      <c r="AA112" s="13">
        <f t="shared" si="5"/>
        <v>45962</v>
      </c>
      <c r="AB112" t="str">
        <f>IF(X112&gt;=0.5,"Faixa 1",IF(X112=0,"Faixa 3","Faixa 2"))</f>
        <v>Faixa 3</v>
      </c>
      <c r="AC112">
        <v>1</v>
      </c>
      <c r="AD112" t="str">
        <f t="shared" si="6"/>
        <v>2025-4T</v>
      </c>
      <c r="AE112" s="1" t="str">
        <f t="shared" si="7"/>
        <v>Até +0,5%</v>
      </c>
      <c r="AF112" t="str">
        <f t="shared" si="8"/>
        <v>Acima de 34%</v>
      </c>
      <c r="AG112" t="str">
        <f t="shared" si="9"/>
        <v>Ate 41%</v>
      </c>
      <c r="AH112" s="1"/>
    </row>
    <row r="113" spans="1:34" x14ac:dyDescent="0.45">
      <c r="A113" t="s">
        <v>313</v>
      </c>
      <c r="B113" t="s">
        <v>314</v>
      </c>
      <c r="C113" s="13">
        <v>45971</v>
      </c>
      <c r="D113" t="s">
        <v>29</v>
      </c>
      <c r="E113" t="s">
        <v>30</v>
      </c>
      <c r="F113">
        <v>500</v>
      </c>
      <c r="G113">
        <v>244520</v>
      </c>
      <c r="H113" s="1">
        <v>6.9000000000000006E-2</v>
      </c>
      <c r="I113">
        <v>890</v>
      </c>
      <c r="J113">
        <v>51010</v>
      </c>
      <c r="K113" s="10">
        <v>0.439</v>
      </c>
      <c r="L113">
        <v>18</v>
      </c>
      <c r="M113">
        <v>102019</v>
      </c>
      <c r="O113">
        <v>232183</v>
      </c>
      <c r="P113">
        <v>209542</v>
      </c>
      <c r="Q113" s="1">
        <v>0.214</v>
      </c>
      <c r="R113" s="1">
        <v>0.2</v>
      </c>
      <c r="S113" s="1">
        <v>0.40699999999999997</v>
      </c>
      <c r="T113" s="1">
        <v>0.33600000000000002</v>
      </c>
      <c r="U113">
        <v>13958</v>
      </c>
      <c r="V113" s="1">
        <v>0.11700000000000001</v>
      </c>
      <c r="W113">
        <v>3484</v>
      </c>
      <c r="X113" s="1">
        <v>0.38100000000000001</v>
      </c>
      <c r="Y113" s="1">
        <f>(O113-P113)/O113</f>
        <v>9.7513599186848307E-2</v>
      </c>
      <c r="Z113" s="2">
        <f>P113/M113</f>
        <v>2.053950734667072</v>
      </c>
      <c r="AA113" s="13">
        <f t="shared" si="5"/>
        <v>45962</v>
      </c>
      <c r="AB113" t="str">
        <f>IF(X113&gt;=0.5,"Faixa 1",IF(X113=0,"Faixa 3","Faixa 2"))</f>
        <v>Faixa 2</v>
      </c>
      <c r="AC113">
        <v>1</v>
      </c>
      <c r="AD113" t="str">
        <f t="shared" si="6"/>
        <v>2025-4T</v>
      </c>
      <c r="AE113" s="1" t="str">
        <f t="shared" si="7"/>
        <v>Acima de +1%</v>
      </c>
      <c r="AF113" t="str">
        <f t="shared" si="8"/>
        <v>Ate 34%</v>
      </c>
      <c r="AG113" t="str">
        <f t="shared" si="9"/>
        <v>Ate 41%</v>
      </c>
      <c r="AH113" s="1"/>
    </row>
    <row r="114" spans="1:34" x14ac:dyDescent="0.45">
      <c r="A114" t="s">
        <v>316</v>
      </c>
      <c r="B114" t="s">
        <v>317</v>
      </c>
      <c r="C114" s="13">
        <v>45975</v>
      </c>
      <c r="D114" t="s">
        <v>319</v>
      </c>
      <c r="E114" t="s">
        <v>30</v>
      </c>
      <c r="F114">
        <v>800</v>
      </c>
      <c r="G114">
        <v>264285</v>
      </c>
      <c r="H114" s="1">
        <v>6.5000000000000002E-2</v>
      </c>
      <c r="I114">
        <v>1265</v>
      </c>
      <c r="J114">
        <v>86726</v>
      </c>
      <c r="K114" s="10">
        <v>0.436</v>
      </c>
      <c r="L114">
        <v>19</v>
      </c>
      <c r="M114">
        <v>108407</v>
      </c>
      <c r="O114">
        <v>248547</v>
      </c>
      <c r="P114">
        <v>229408</v>
      </c>
      <c r="Q114" s="1">
        <v>0.20300000000000001</v>
      </c>
      <c r="R114" s="1">
        <v>0.2</v>
      </c>
      <c r="S114" s="1">
        <v>0.40300000000000002</v>
      </c>
      <c r="T114" s="1">
        <v>0.34799999999999998</v>
      </c>
      <c r="U114">
        <v>23308</v>
      </c>
      <c r="V114" s="1">
        <v>0.108</v>
      </c>
      <c r="W114">
        <v>4283</v>
      </c>
      <c r="X114" s="1">
        <v>4.4999999999999998E-2</v>
      </c>
      <c r="Y114" s="1">
        <f>(O114-P114)/O114</f>
        <v>7.7003544601222301E-2</v>
      </c>
      <c r="Z114" s="2">
        <f>P114/M114</f>
        <v>2.1161733098416153</v>
      </c>
      <c r="AA114" s="13">
        <f t="shared" si="5"/>
        <v>45962</v>
      </c>
      <c r="AB114" t="str">
        <f>IF(X114&gt;=0.5,"Faixa 1",IF(X114=0,"Faixa 3","Faixa 2"))</f>
        <v>Faixa 2</v>
      </c>
      <c r="AC114">
        <v>1</v>
      </c>
      <c r="AD114" t="str">
        <f t="shared" si="6"/>
        <v>2025-4T</v>
      </c>
      <c r="AE114" s="1" t="str">
        <f t="shared" si="7"/>
        <v>Até +0,5%</v>
      </c>
      <c r="AF114" t="str">
        <f t="shared" si="8"/>
        <v>Acima de 34%</v>
      </c>
      <c r="AG114" t="str">
        <f t="shared" si="9"/>
        <v>Ate 41%</v>
      </c>
      <c r="AH114" s="1"/>
    </row>
    <row r="115" spans="1:34" x14ac:dyDescent="0.45">
      <c r="A115" t="s">
        <v>320</v>
      </c>
      <c r="B115" t="s">
        <v>321</v>
      </c>
      <c r="C115" s="13">
        <v>45975</v>
      </c>
      <c r="D115" t="s">
        <v>29</v>
      </c>
      <c r="E115" t="s">
        <v>30</v>
      </c>
      <c r="F115">
        <v>925</v>
      </c>
      <c r="G115">
        <v>348351</v>
      </c>
      <c r="H115" s="1">
        <v>7.6999999999999999E-2</v>
      </c>
      <c r="I115">
        <v>1846</v>
      </c>
      <c r="J115">
        <v>105691</v>
      </c>
      <c r="K115" s="11">
        <v>0.32300000000000001</v>
      </c>
      <c r="L115">
        <v>19</v>
      </c>
      <c r="M115">
        <v>114261</v>
      </c>
      <c r="O115">
        <v>353573</v>
      </c>
      <c r="P115">
        <v>333894</v>
      </c>
      <c r="Q115" s="1">
        <v>0.23400000000000001</v>
      </c>
      <c r="R115" s="1">
        <v>0.2</v>
      </c>
      <c r="S115" s="1">
        <v>0.46400000000000002</v>
      </c>
      <c r="T115" s="5">
        <v>0.42799999999999999</v>
      </c>
      <c r="U115" s="6">
        <v>45316</v>
      </c>
      <c r="V115" s="1">
        <v>0.13300000000000001</v>
      </c>
      <c r="W115" s="7">
        <v>7999</v>
      </c>
      <c r="X115" s="1">
        <v>0</v>
      </c>
      <c r="Y115" s="1">
        <f>(O115-P115)/O115</f>
        <v>5.5657530410975951E-2</v>
      </c>
      <c r="Z115" s="2">
        <f>P115/M115</f>
        <v>2.9222044267072755</v>
      </c>
      <c r="AA115" s="13">
        <f t="shared" si="5"/>
        <v>45962</v>
      </c>
      <c r="AB115" t="str">
        <f>IF(X115&gt;=0.5,"Faixa 1",IF(X115=0,"Faixa 3","Faixa 2"))</f>
        <v>Faixa 3</v>
      </c>
      <c r="AC115">
        <v>1</v>
      </c>
      <c r="AD115" t="str">
        <f t="shared" si="6"/>
        <v>2025-4T</v>
      </c>
      <c r="AE115" s="1" t="str">
        <f t="shared" si="7"/>
        <v>Acima de +1%</v>
      </c>
      <c r="AF115" t="str">
        <f t="shared" si="8"/>
        <v>Acima de 34%</v>
      </c>
      <c r="AG115" t="str">
        <f t="shared" si="9"/>
        <v>Acima de 41%</v>
      </c>
      <c r="AH115" s="1"/>
    </row>
    <row r="116" spans="1:34" x14ac:dyDescent="0.45">
      <c r="A116" t="s">
        <v>322</v>
      </c>
      <c r="B116" t="s">
        <v>323</v>
      </c>
      <c r="C116" s="13">
        <v>45975</v>
      </c>
      <c r="E116" t="s">
        <v>35</v>
      </c>
      <c r="F116">
        <v>350</v>
      </c>
      <c r="G116">
        <v>295961</v>
      </c>
      <c r="H116" s="1">
        <v>0.10199999999999999</v>
      </c>
      <c r="I116">
        <v>1466</v>
      </c>
      <c r="J116">
        <v>42433</v>
      </c>
      <c r="K116" s="10">
        <v>0.42</v>
      </c>
      <c r="L116">
        <v>19</v>
      </c>
      <c r="M116" s="7">
        <v>121236</v>
      </c>
      <c r="O116">
        <v>288964</v>
      </c>
      <c r="P116">
        <v>268477</v>
      </c>
      <c r="Q116" s="1">
        <v>0.20899999999999999</v>
      </c>
      <c r="R116" s="1">
        <v>0.2</v>
      </c>
      <c r="S116" s="1">
        <v>0.38200000000000001</v>
      </c>
      <c r="T116" s="1">
        <v>0.33400000000000002</v>
      </c>
      <c r="U116">
        <v>10947</v>
      </c>
      <c r="V116" s="1">
        <v>0.10100000000000001</v>
      </c>
      <c r="W116">
        <v>5271</v>
      </c>
      <c r="X116" s="1">
        <v>0</v>
      </c>
      <c r="Y116" s="1">
        <f>(O116-P116)/O116</f>
        <v>7.0898104954250363E-2</v>
      </c>
      <c r="Z116" s="2">
        <f>P116/M116</f>
        <v>2.2144989936982413</v>
      </c>
      <c r="AA116" s="13">
        <f t="shared" si="5"/>
        <v>45962</v>
      </c>
      <c r="AB116" t="str">
        <f>IF(X116&gt;=0.5,"Faixa 1",IF(X116=0,"Faixa 3","Faixa 2"))</f>
        <v>Faixa 3</v>
      </c>
      <c r="AC116">
        <v>1</v>
      </c>
      <c r="AD116" t="str">
        <f t="shared" si="6"/>
        <v>2025-4T</v>
      </c>
      <c r="AE116" s="1" t="str">
        <f t="shared" si="7"/>
        <v>Ate +1%</v>
      </c>
      <c r="AF116" t="str">
        <f t="shared" si="8"/>
        <v>Ate 34%</v>
      </c>
      <c r="AG116" t="str">
        <f t="shared" si="9"/>
        <v>Ate 39%</v>
      </c>
      <c r="AH116" s="1"/>
    </row>
    <row r="117" spans="1:34" x14ac:dyDescent="0.45">
      <c r="A117" t="s">
        <v>324</v>
      </c>
      <c r="B117" t="s">
        <v>325</v>
      </c>
      <c r="C117" s="13">
        <v>45978</v>
      </c>
      <c r="D117" t="s">
        <v>29</v>
      </c>
      <c r="E117" t="s">
        <v>30</v>
      </c>
      <c r="F117">
        <v>753</v>
      </c>
      <c r="G117">
        <v>281992</v>
      </c>
      <c r="H117" s="1">
        <v>0.14000000000000001</v>
      </c>
      <c r="I117">
        <v>2509</v>
      </c>
      <c r="J117">
        <v>74018</v>
      </c>
      <c r="K117" s="10">
        <v>0.371</v>
      </c>
      <c r="L117">
        <v>18</v>
      </c>
      <c r="M117">
        <v>98297</v>
      </c>
      <c r="O117">
        <v>264652</v>
      </c>
      <c r="P117">
        <v>239556</v>
      </c>
      <c r="Q117" s="1">
        <v>0.20499999999999999</v>
      </c>
      <c r="R117" s="1">
        <v>0.2</v>
      </c>
      <c r="S117" s="1">
        <v>0.39400000000000002</v>
      </c>
      <c r="T117" s="1">
        <v>0.32400000000000001</v>
      </c>
      <c r="U117">
        <v>14685</v>
      </c>
      <c r="V117" s="1">
        <v>6.8000000000000005E-2</v>
      </c>
      <c r="W117">
        <v>4346</v>
      </c>
      <c r="X117" s="1">
        <v>0</v>
      </c>
      <c r="Y117" s="1">
        <f>(O117-P117)/O117</f>
        <v>9.4826413554403521E-2</v>
      </c>
      <c r="Z117" s="2">
        <f>P117/M117</f>
        <v>2.4370631860585776</v>
      </c>
      <c r="AA117" s="13">
        <f t="shared" si="5"/>
        <v>45962</v>
      </c>
      <c r="AB117" t="str">
        <f>IF(X117&gt;=0.5,"Faixa 1",IF(X117=0,"Faixa 3","Faixa 2"))</f>
        <v>Faixa 3</v>
      </c>
      <c r="AC117">
        <v>1</v>
      </c>
      <c r="AD117" t="str">
        <f t="shared" si="6"/>
        <v>2025-4T</v>
      </c>
      <c r="AE117" s="1" t="str">
        <f t="shared" si="7"/>
        <v>Até +0,5%</v>
      </c>
      <c r="AF117" t="str">
        <f t="shared" si="8"/>
        <v>Ate 34%</v>
      </c>
      <c r="AG117" t="str">
        <f t="shared" si="9"/>
        <v>Ate 41%</v>
      </c>
      <c r="AH117" s="1"/>
    </row>
    <row r="118" spans="1:34" x14ac:dyDescent="0.45">
      <c r="A118" t="s">
        <v>327</v>
      </c>
      <c r="B118" t="s">
        <v>328</v>
      </c>
      <c r="C118" s="13">
        <v>45978</v>
      </c>
      <c r="D118" t="s">
        <v>329</v>
      </c>
      <c r="E118" t="s">
        <v>30</v>
      </c>
      <c r="F118">
        <v>1794</v>
      </c>
      <c r="G118">
        <v>225000</v>
      </c>
      <c r="H118" s="4">
        <v>7.9000000000000001E-2</v>
      </c>
      <c r="I118">
        <v>3192</v>
      </c>
      <c r="J118" s="6">
        <v>183183</v>
      </c>
      <c r="K118" s="10">
        <v>0.46100000000000002</v>
      </c>
      <c r="L118">
        <v>25</v>
      </c>
      <c r="M118">
        <v>102109</v>
      </c>
      <c r="O118">
        <v>221585</v>
      </c>
      <c r="P118">
        <v>199510</v>
      </c>
      <c r="Q118" s="1">
        <v>0.20599999999999999</v>
      </c>
      <c r="R118" s="1">
        <v>0.2</v>
      </c>
      <c r="S118" s="1">
        <v>0.371</v>
      </c>
      <c r="T118" s="1">
        <v>0.29099999999999998</v>
      </c>
      <c r="U118">
        <v>20086</v>
      </c>
      <c r="V118" s="1">
        <v>4.3999999999999997E-2</v>
      </c>
      <c r="W118">
        <v>2591</v>
      </c>
      <c r="X118" s="3">
        <v>0.75</v>
      </c>
      <c r="Y118" s="1">
        <f>(O118-P118)/O118</f>
        <v>9.9623169438364509E-2</v>
      </c>
      <c r="Z118" s="2">
        <f>P118/M118</f>
        <v>1.9538924090922445</v>
      </c>
      <c r="AA118" s="13">
        <f t="shared" si="5"/>
        <v>45962</v>
      </c>
      <c r="AB118" t="str">
        <f>IF(X118&gt;=0.5,"Faixa 1",IF(X118=0,"Faixa 3","Faixa 2"))</f>
        <v>Faixa 1</v>
      </c>
      <c r="AC118">
        <v>1</v>
      </c>
      <c r="AD118" t="str">
        <f t="shared" si="6"/>
        <v>2025-4T</v>
      </c>
      <c r="AE118" s="1" t="str">
        <f t="shared" si="7"/>
        <v>Ate +1%</v>
      </c>
      <c r="AF118" t="str">
        <f t="shared" si="8"/>
        <v>Ate 32%</v>
      </c>
      <c r="AG118" t="str">
        <f t="shared" si="9"/>
        <v>Ate 39%</v>
      </c>
      <c r="AH118" s="1"/>
    </row>
    <row r="119" spans="1:34" x14ac:dyDescent="0.45">
      <c r="A119" t="s">
        <v>330</v>
      </c>
      <c r="B119" t="s">
        <v>331</v>
      </c>
      <c r="C119" s="13">
        <v>45978</v>
      </c>
      <c r="D119" t="s">
        <v>332</v>
      </c>
      <c r="E119" t="s">
        <v>30</v>
      </c>
      <c r="F119">
        <v>1378</v>
      </c>
      <c r="G119">
        <v>239731</v>
      </c>
      <c r="H119" s="1">
        <v>8.5999999999999993E-2</v>
      </c>
      <c r="I119">
        <v>641</v>
      </c>
      <c r="J119" s="7">
        <v>134632</v>
      </c>
      <c r="K119" s="10">
        <v>0.40200000000000002</v>
      </c>
      <c r="L119">
        <v>20</v>
      </c>
      <c r="M119">
        <v>97701</v>
      </c>
      <c r="O119">
        <v>242979</v>
      </c>
      <c r="P119">
        <v>223367</v>
      </c>
      <c r="Q119" s="1">
        <v>0.2</v>
      </c>
      <c r="R119" s="1">
        <v>0.2</v>
      </c>
      <c r="S119" s="1">
        <v>0.435</v>
      </c>
      <c r="T119" s="1">
        <v>0.38</v>
      </c>
      <c r="U119">
        <v>17996</v>
      </c>
      <c r="V119" s="1">
        <v>4.9000000000000002E-2</v>
      </c>
      <c r="W119">
        <v>3454</v>
      </c>
      <c r="X119" s="1">
        <v>0.14399999999999999</v>
      </c>
      <c r="Y119" s="1">
        <f>(O119-P119)/O119</f>
        <v>8.0714794282633479E-2</v>
      </c>
      <c r="Z119" s="2">
        <f>P119/M119</f>
        <v>2.2862304377641989</v>
      </c>
      <c r="AA119" s="13">
        <f t="shared" si="5"/>
        <v>45962</v>
      </c>
      <c r="AB119" t="str">
        <f>IF(X119&gt;=0.5,"Faixa 1",IF(X119=0,"Faixa 3","Faixa 2"))</f>
        <v>Faixa 2</v>
      </c>
      <c r="AC119">
        <v>1</v>
      </c>
      <c r="AD119" t="str">
        <f t="shared" si="6"/>
        <v>2025-4T</v>
      </c>
      <c r="AE119" s="1" t="str">
        <f t="shared" si="7"/>
        <v>Até +0,5%</v>
      </c>
      <c r="AF119" t="str">
        <f t="shared" si="8"/>
        <v>Acima de 34%</v>
      </c>
      <c r="AG119" t="str">
        <f t="shared" si="9"/>
        <v>Acima de 41%</v>
      </c>
      <c r="AH119" s="1"/>
    </row>
    <row r="120" spans="1:34" x14ac:dyDescent="0.45">
      <c r="A120" t="s">
        <v>333</v>
      </c>
      <c r="B120" t="s">
        <v>334</v>
      </c>
      <c r="C120" s="13">
        <v>45978</v>
      </c>
      <c r="D120" t="s">
        <v>44</v>
      </c>
      <c r="E120" t="s">
        <v>30</v>
      </c>
      <c r="F120">
        <v>465</v>
      </c>
      <c r="G120">
        <v>284435</v>
      </c>
      <c r="H120" s="1">
        <v>0.108</v>
      </c>
      <c r="I120">
        <v>1797</v>
      </c>
      <c r="J120">
        <v>46074</v>
      </c>
      <c r="K120" s="10">
        <v>0.39600000000000002</v>
      </c>
      <c r="L120">
        <v>19</v>
      </c>
      <c r="M120">
        <v>99083</v>
      </c>
      <c r="O120">
        <v>249897</v>
      </c>
      <c r="P120">
        <v>223879</v>
      </c>
      <c r="Q120" s="1">
        <v>0.214</v>
      </c>
      <c r="R120" s="1">
        <v>0.2</v>
      </c>
      <c r="S120" s="1">
        <v>0.40100000000000002</v>
      </c>
      <c r="T120" s="1">
        <v>0.32300000000000001</v>
      </c>
      <c r="U120">
        <v>10921</v>
      </c>
      <c r="V120" s="1">
        <v>9.5000000000000001E-2</v>
      </c>
      <c r="W120">
        <v>3727</v>
      </c>
      <c r="X120" s="1">
        <v>0.22900000000000001</v>
      </c>
      <c r="Y120" s="1">
        <f>(O120-P120)/O120</f>
        <v>0.10411489533687879</v>
      </c>
      <c r="Z120" s="2">
        <f>P120/M120</f>
        <v>2.2595097039855476</v>
      </c>
      <c r="AA120" s="13">
        <f t="shared" si="5"/>
        <v>45962</v>
      </c>
      <c r="AB120" t="str">
        <f>IF(X120&gt;=0.5,"Faixa 1",IF(X120=0,"Faixa 3","Faixa 2"))</f>
        <v>Faixa 2</v>
      </c>
      <c r="AC120">
        <v>1</v>
      </c>
      <c r="AD120" t="str">
        <f t="shared" si="6"/>
        <v>2025-4T</v>
      </c>
      <c r="AE120" s="1" t="str">
        <f t="shared" si="7"/>
        <v>Acima de +1%</v>
      </c>
      <c r="AF120" t="str">
        <f t="shared" si="8"/>
        <v>Ate 34%</v>
      </c>
      <c r="AG120" t="str">
        <f t="shared" si="9"/>
        <v>Ate 41%</v>
      </c>
      <c r="AH120" s="1"/>
    </row>
    <row r="121" spans="1:34" x14ac:dyDescent="0.45">
      <c r="A121" t="s">
        <v>335</v>
      </c>
      <c r="B121" t="s">
        <v>336</v>
      </c>
      <c r="C121" s="13">
        <v>45978</v>
      </c>
      <c r="D121" t="s">
        <v>34</v>
      </c>
      <c r="E121" t="s">
        <v>30</v>
      </c>
      <c r="F121">
        <v>476</v>
      </c>
      <c r="G121">
        <v>204705</v>
      </c>
      <c r="H121" s="1">
        <v>3.5999999999999997E-2</v>
      </c>
      <c r="I121">
        <v>622</v>
      </c>
      <c r="J121">
        <v>47382</v>
      </c>
      <c r="K121" s="10">
        <v>0.47799999999999998</v>
      </c>
      <c r="L121">
        <v>15</v>
      </c>
      <c r="M121">
        <v>99541</v>
      </c>
      <c r="O121">
        <v>208185</v>
      </c>
      <c r="P121">
        <v>187323</v>
      </c>
      <c r="Q121" s="1">
        <v>0.221</v>
      </c>
      <c r="R121" s="1">
        <v>0.2</v>
      </c>
      <c r="S121" s="1">
        <v>0.40500000000000003</v>
      </c>
      <c r="T121" s="1">
        <v>0.33300000000000002</v>
      </c>
      <c r="U121">
        <v>12892</v>
      </c>
      <c r="V121" s="1">
        <v>0.13</v>
      </c>
      <c r="W121">
        <v>2546</v>
      </c>
      <c r="X121" s="1">
        <v>0.66599999999999993</v>
      </c>
      <c r="Y121" s="1">
        <f>(O121-P121)/O121</f>
        <v>0.10020894877152532</v>
      </c>
      <c r="Z121" s="2">
        <f>P121/M121</f>
        <v>1.8818677730784299</v>
      </c>
      <c r="AA121" s="13">
        <f t="shared" si="5"/>
        <v>45962</v>
      </c>
      <c r="AB121" t="str">
        <f>IF(X121&gt;=0.5,"Faixa 1",IF(X121=0,"Faixa 3","Faixa 2"))</f>
        <v>Faixa 1</v>
      </c>
      <c r="AC121">
        <v>1</v>
      </c>
      <c r="AD121" t="str">
        <f t="shared" si="6"/>
        <v>2025-4T</v>
      </c>
      <c r="AE121" s="1" t="str">
        <f t="shared" si="7"/>
        <v>Acima de +1%</v>
      </c>
      <c r="AF121" t="str">
        <f t="shared" si="8"/>
        <v>Ate 34%</v>
      </c>
      <c r="AG121" t="str">
        <f t="shared" si="9"/>
        <v>Ate 41%</v>
      </c>
      <c r="AH121" s="1"/>
    </row>
    <row r="122" spans="1:34" x14ac:dyDescent="0.45">
      <c r="A122" t="s">
        <v>338</v>
      </c>
      <c r="B122" t="s">
        <v>339</v>
      </c>
      <c r="C122" s="13">
        <v>45985</v>
      </c>
      <c r="D122" t="s">
        <v>29</v>
      </c>
      <c r="E122" t="s">
        <v>30</v>
      </c>
      <c r="F122">
        <v>333</v>
      </c>
      <c r="G122">
        <v>210465</v>
      </c>
      <c r="H122" s="4">
        <v>4.2999999999999997E-2</v>
      </c>
      <c r="I122">
        <v>304</v>
      </c>
      <c r="J122">
        <v>29496</v>
      </c>
      <c r="K122" s="10">
        <v>0.42499999999999999</v>
      </c>
      <c r="L122">
        <v>14</v>
      </c>
      <c r="M122">
        <v>88577</v>
      </c>
      <c r="O122">
        <v>208220</v>
      </c>
      <c r="P122">
        <v>190122</v>
      </c>
      <c r="Q122" s="5">
        <v>0.253</v>
      </c>
      <c r="R122" s="1">
        <v>0.2</v>
      </c>
      <c r="S122" s="4">
        <v>0.45700000000000002</v>
      </c>
      <c r="T122" s="1">
        <v>0.4</v>
      </c>
      <c r="U122">
        <v>11647</v>
      </c>
      <c r="V122" s="1">
        <v>0.158</v>
      </c>
      <c r="W122">
        <v>2803</v>
      </c>
      <c r="X122" s="4">
        <v>0.55100000000000005</v>
      </c>
      <c r="Y122" s="1">
        <f>(O122-P122)/O122</f>
        <v>8.6917683219671499E-2</v>
      </c>
      <c r="Z122" s="2">
        <f>P122/M122</f>
        <v>2.1464036939611861</v>
      </c>
      <c r="AA122" s="13">
        <f t="shared" si="5"/>
        <v>45962</v>
      </c>
      <c r="AB122" t="str">
        <f>IF(X122&gt;=0.5,"Faixa 1",IF(X122=0,"Faixa 3","Faixa 2"))</f>
        <v>Faixa 1</v>
      </c>
      <c r="AC122">
        <v>1</v>
      </c>
      <c r="AD122" t="str">
        <f t="shared" si="6"/>
        <v>2025-4T</v>
      </c>
      <c r="AE122" s="1" t="str">
        <f t="shared" si="7"/>
        <v>Acima de +1%</v>
      </c>
      <c r="AF122" t="str">
        <f t="shared" si="8"/>
        <v>Acima de 34%</v>
      </c>
      <c r="AG122" t="str">
        <f t="shared" si="9"/>
        <v>Acima de 41%</v>
      </c>
      <c r="AH122" s="1"/>
    </row>
    <row r="123" spans="1:34" x14ac:dyDescent="0.45">
      <c r="A123" t="s">
        <v>341</v>
      </c>
      <c r="B123" t="s">
        <v>342</v>
      </c>
      <c r="C123" s="13">
        <v>45989</v>
      </c>
      <c r="D123" t="s">
        <v>204</v>
      </c>
      <c r="E123" t="s">
        <v>30</v>
      </c>
      <c r="F123">
        <v>874</v>
      </c>
      <c r="G123">
        <v>229573</v>
      </c>
      <c r="H123" s="1">
        <v>6.0999999999999999E-2</v>
      </c>
      <c r="I123">
        <v>999</v>
      </c>
      <c r="J123">
        <v>93824</v>
      </c>
      <c r="K123" s="10">
        <v>0.47299999999999998</v>
      </c>
      <c r="L123">
        <v>20</v>
      </c>
      <c r="M123">
        <v>107350</v>
      </c>
      <c r="O123">
        <v>226816</v>
      </c>
      <c r="P123">
        <v>207123</v>
      </c>
      <c r="Q123" s="1">
        <v>0.17899999999999999</v>
      </c>
      <c r="R123" s="1">
        <v>0.2</v>
      </c>
      <c r="S123" s="1">
        <v>0.38</v>
      </c>
      <c r="T123" s="1">
        <v>0.315</v>
      </c>
      <c r="U123">
        <v>13634</v>
      </c>
      <c r="V123" s="1">
        <v>6.7000000000000004E-2</v>
      </c>
      <c r="W123">
        <v>3189</v>
      </c>
      <c r="X123" s="1">
        <v>0.28699999999999998</v>
      </c>
      <c r="Y123" s="1">
        <f>(O123-P123)/O123</f>
        <v>8.6823680869074493E-2</v>
      </c>
      <c r="Z123" s="2">
        <f>P123/M123</f>
        <v>1.9294177922682814</v>
      </c>
      <c r="AA123" s="13">
        <f t="shared" si="5"/>
        <v>45962</v>
      </c>
      <c r="AB123" t="str">
        <f>IF(X123&gt;=0.5,"Faixa 1",IF(X123=0,"Faixa 3","Faixa 2"))</f>
        <v>Faixa 2</v>
      </c>
      <c r="AC123">
        <v>1</v>
      </c>
      <c r="AD123" t="str">
        <f t="shared" si="6"/>
        <v>2025-4T</v>
      </c>
      <c r="AE123" s="1" t="str">
        <f t="shared" si="7"/>
        <v>Até +0,5%</v>
      </c>
      <c r="AF123" t="str">
        <f t="shared" si="8"/>
        <v>Ate 32%</v>
      </c>
      <c r="AG123" t="str">
        <f t="shared" si="9"/>
        <v>Ate 39%</v>
      </c>
      <c r="AH123" s="1"/>
    </row>
    <row r="124" spans="1:34" x14ac:dyDescent="0.45">
      <c r="A124" t="s">
        <v>344</v>
      </c>
      <c r="B124" t="s">
        <v>345</v>
      </c>
      <c r="C124" s="13">
        <v>45989</v>
      </c>
      <c r="D124" t="s">
        <v>60</v>
      </c>
      <c r="E124" t="s">
        <v>30</v>
      </c>
      <c r="F124">
        <v>494</v>
      </c>
      <c r="G124">
        <v>243279</v>
      </c>
      <c r="H124" s="1">
        <v>8.5999999999999993E-2</v>
      </c>
      <c r="I124">
        <v>2078</v>
      </c>
      <c r="J124">
        <v>50671</v>
      </c>
      <c r="K124" s="10">
        <v>0.43</v>
      </c>
      <c r="L124">
        <v>19</v>
      </c>
      <c r="M124">
        <v>102573</v>
      </c>
      <c r="O124">
        <v>238783</v>
      </c>
      <c r="P124">
        <v>217628</v>
      </c>
      <c r="Q124" s="1">
        <v>0.186</v>
      </c>
      <c r="R124" s="1">
        <v>0.2</v>
      </c>
      <c r="S124" s="1">
        <v>0.38800000000000001</v>
      </c>
      <c r="T124" s="1">
        <v>0.32200000000000001</v>
      </c>
      <c r="U124">
        <v>15664</v>
      </c>
      <c r="V124" s="1">
        <v>0.13300000000000001</v>
      </c>
      <c r="W124">
        <v>4135</v>
      </c>
      <c r="X124" s="1">
        <v>0</v>
      </c>
      <c r="Y124" s="1">
        <f>(O124-P124)/O124</f>
        <v>8.8595084239665306E-2</v>
      </c>
      <c r="Z124" s="2">
        <f>P124/M124</f>
        <v>2.1216889434841528</v>
      </c>
      <c r="AA124" s="13">
        <f t="shared" si="5"/>
        <v>45962</v>
      </c>
      <c r="AB124" t="str">
        <f>IF(X124&gt;=0.5,"Faixa 1",IF(X124=0,"Faixa 3","Faixa 2"))</f>
        <v>Faixa 3</v>
      </c>
      <c r="AC124">
        <v>1</v>
      </c>
      <c r="AD124" t="str">
        <f t="shared" si="6"/>
        <v>2025-4T</v>
      </c>
      <c r="AE124" s="1" t="str">
        <f t="shared" si="7"/>
        <v>Até +0,5%</v>
      </c>
      <c r="AF124" t="str">
        <f t="shared" si="8"/>
        <v>Ate 34%</v>
      </c>
      <c r="AG124" t="str">
        <f t="shared" si="9"/>
        <v>Ate 39%</v>
      </c>
      <c r="AH124" s="1"/>
    </row>
    <row r="125" spans="1:34" x14ac:dyDescent="0.45">
      <c r="A125" t="s">
        <v>346</v>
      </c>
      <c r="B125" t="s">
        <v>347</v>
      </c>
      <c r="C125" s="13">
        <v>45989</v>
      </c>
      <c r="D125" t="s">
        <v>29</v>
      </c>
      <c r="E125" t="s">
        <v>30</v>
      </c>
      <c r="F125">
        <v>1500</v>
      </c>
      <c r="G125">
        <v>207147</v>
      </c>
      <c r="H125" s="1">
        <v>8.5000000000000006E-2</v>
      </c>
      <c r="I125">
        <v>420</v>
      </c>
      <c r="J125" s="7">
        <v>137990</v>
      </c>
      <c r="K125" s="10">
        <v>0.46200000000000002</v>
      </c>
      <c r="L125">
        <v>14</v>
      </c>
      <c r="M125">
        <v>91993</v>
      </c>
      <c r="O125">
        <v>199237</v>
      </c>
      <c r="P125">
        <v>181500</v>
      </c>
      <c r="Q125" s="1">
        <v>0.21299999999999999</v>
      </c>
      <c r="R125" s="1">
        <v>0.2</v>
      </c>
      <c r="S125" s="1">
        <v>0.38500000000000001</v>
      </c>
      <c r="T125" s="1">
        <v>0.31900000000000001</v>
      </c>
      <c r="U125">
        <v>17242</v>
      </c>
      <c r="V125" s="1">
        <v>5.1999999999999998E-2</v>
      </c>
      <c r="W125">
        <v>2733</v>
      </c>
      <c r="X125" s="1">
        <v>0.75599999999999989</v>
      </c>
      <c r="Y125" s="1">
        <f>(O125-P125)/O125</f>
        <v>8.902462895948042E-2</v>
      </c>
      <c r="Z125" s="2">
        <f>P125/M125</f>
        <v>1.972976204711228</v>
      </c>
      <c r="AA125" s="13">
        <f t="shared" si="5"/>
        <v>45962</v>
      </c>
      <c r="AB125" t="str">
        <f>IF(X125&gt;=0.5,"Faixa 1",IF(X125=0,"Faixa 3","Faixa 2"))</f>
        <v>Faixa 1</v>
      </c>
      <c r="AC125">
        <v>1</v>
      </c>
      <c r="AD125" t="str">
        <f t="shared" si="6"/>
        <v>2025-4T</v>
      </c>
      <c r="AE125" s="1" t="str">
        <f t="shared" si="7"/>
        <v>Acima de +1%</v>
      </c>
      <c r="AF125" t="str">
        <f t="shared" si="8"/>
        <v>Ate 32%</v>
      </c>
      <c r="AG125" t="str">
        <f t="shared" si="9"/>
        <v>Ate 39%</v>
      </c>
      <c r="AH125" s="1"/>
    </row>
    <row r="126" spans="1:34" x14ac:dyDescent="0.45">
      <c r="A126" t="s">
        <v>348</v>
      </c>
      <c r="B126" t="s">
        <v>349</v>
      </c>
      <c r="C126" s="13">
        <v>45989</v>
      </c>
      <c r="D126" t="s">
        <v>204</v>
      </c>
      <c r="E126" t="s">
        <v>30</v>
      </c>
      <c r="F126">
        <v>520</v>
      </c>
      <c r="G126">
        <v>190835</v>
      </c>
      <c r="H126" s="1">
        <v>7.2999999999999995E-2</v>
      </c>
      <c r="I126">
        <v>516</v>
      </c>
      <c r="J126">
        <v>45122</v>
      </c>
      <c r="K126" s="10">
        <v>0.435</v>
      </c>
      <c r="L126">
        <v>14</v>
      </c>
      <c r="M126">
        <v>86773</v>
      </c>
      <c r="O126">
        <v>199568</v>
      </c>
      <c r="P126">
        <v>175120</v>
      </c>
      <c r="Q126" s="1">
        <v>0.216</v>
      </c>
      <c r="R126" s="1">
        <v>0.2</v>
      </c>
      <c r="S126" s="1">
        <v>0.433</v>
      </c>
      <c r="T126" s="1">
        <v>0.34599999999999997</v>
      </c>
      <c r="U126">
        <v>14098</v>
      </c>
      <c r="V126" s="1">
        <v>0.13600000000000001</v>
      </c>
      <c r="W126">
        <v>2516</v>
      </c>
      <c r="X126" s="1">
        <v>0.75</v>
      </c>
      <c r="Y126" s="1">
        <f>(O126-P126)/O126</f>
        <v>0.12250460995750821</v>
      </c>
      <c r="Z126" s="2">
        <f>P126/M126</f>
        <v>2.01813928295668</v>
      </c>
      <c r="AA126" s="13">
        <f t="shared" si="5"/>
        <v>45962</v>
      </c>
      <c r="AB126" t="str">
        <f>IF(X126&gt;=0.5,"Faixa 1",IF(X126=0,"Faixa 3","Faixa 2"))</f>
        <v>Faixa 1</v>
      </c>
      <c r="AC126">
        <v>1</v>
      </c>
      <c r="AD126" t="str">
        <f t="shared" si="6"/>
        <v>2025-4T</v>
      </c>
      <c r="AE126" s="1" t="str">
        <f t="shared" si="7"/>
        <v>Acima de +1%</v>
      </c>
      <c r="AF126" t="str">
        <f t="shared" si="8"/>
        <v>Acima de 34%</v>
      </c>
      <c r="AG126" t="str">
        <f t="shared" si="9"/>
        <v>Acima de 41%</v>
      </c>
      <c r="AH126" s="1"/>
    </row>
    <row r="127" spans="1:34" x14ac:dyDescent="0.45">
      <c r="A127" t="s">
        <v>350</v>
      </c>
      <c r="B127" t="s">
        <v>304</v>
      </c>
      <c r="C127" s="13">
        <v>45989</v>
      </c>
      <c r="D127" t="s">
        <v>34</v>
      </c>
      <c r="E127" t="s">
        <v>30</v>
      </c>
      <c r="F127">
        <v>443</v>
      </c>
      <c r="G127">
        <v>248192</v>
      </c>
      <c r="H127" s="1">
        <v>6.7000000000000004E-2</v>
      </c>
      <c r="I127">
        <v>1165</v>
      </c>
      <c r="J127">
        <v>46037</v>
      </c>
      <c r="K127" s="10">
        <v>0.42499999999999999</v>
      </c>
      <c r="L127">
        <v>20</v>
      </c>
      <c r="M127">
        <v>103922</v>
      </c>
      <c r="O127">
        <v>244442</v>
      </c>
      <c r="P127">
        <v>227661</v>
      </c>
      <c r="Q127" s="1">
        <v>0.20899999999999999</v>
      </c>
      <c r="R127" s="1">
        <v>0.20899999999999999</v>
      </c>
      <c r="S127" s="1">
        <v>0.41299999999999998</v>
      </c>
      <c r="T127" s="1">
        <v>0.36399999999999999</v>
      </c>
      <c r="U127">
        <v>14195</v>
      </c>
      <c r="V127" s="1">
        <v>0.13400000000000001</v>
      </c>
      <c r="W127">
        <v>3827</v>
      </c>
      <c r="X127" s="1">
        <v>0.39300000000000002</v>
      </c>
      <c r="Y127" s="1">
        <f>(O127-P127)/O127</f>
        <v>6.8650231956865024E-2</v>
      </c>
      <c r="Z127" s="2">
        <f>P127/M127</f>
        <v>2.1906910952445102</v>
      </c>
      <c r="AA127" s="13">
        <f t="shared" si="5"/>
        <v>45962</v>
      </c>
      <c r="AB127" t="str">
        <f>IF(X127&gt;=0.5,"Faixa 1",IF(X127=0,"Faixa 3","Faixa 2"))</f>
        <v>Faixa 2</v>
      </c>
      <c r="AC127">
        <v>1</v>
      </c>
      <c r="AD127" t="str">
        <f t="shared" si="6"/>
        <v>2025-4T</v>
      </c>
      <c r="AE127" s="1" t="str">
        <f t="shared" si="7"/>
        <v>Até +0,5%</v>
      </c>
      <c r="AF127" t="str">
        <f t="shared" si="8"/>
        <v>Acima de 34%</v>
      </c>
      <c r="AG127" t="str">
        <f t="shared" si="9"/>
        <v>Acima de 41%</v>
      </c>
      <c r="AH127" s="1"/>
    </row>
    <row r="128" spans="1:34" x14ac:dyDescent="0.45">
      <c r="A128" t="s">
        <v>351</v>
      </c>
      <c r="B128" t="s">
        <v>309</v>
      </c>
      <c r="C128" s="13">
        <v>45992</v>
      </c>
      <c r="D128" t="s">
        <v>34</v>
      </c>
      <c r="E128" t="s">
        <v>30</v>
      </c>
      <c r="F128">
        <v>730</v>
      </c>
      <c r="G128">
        <v>199353</v>
      </c>
      <c r="H128" s="1">
        <v>5.2999999999999999E-2</v>
      </c>
      <c r="I128">
        <v>318</v>
      </c>
      <c r="J128">
        <v>68307</v>
      </c>
      <c r="K128" s="10">
        <v>0.47199999999999998</v>
      </c>
      <c r="L128">
        <v>15</v>
      </c>
      <c r="M128">
        <v>93571</v>
      </c>
      <c r="O128">
        <v>198111</v>
      </c>
      <c r="P128">
        <v>180055</v>
      </c>
      <c r="Q128" s="1">
        <v>0.20899999999999999</v>
      </c>
      <c r="R128" s="1">
        <v>0.2</v>
      </c>
      <c r="S128" s="1">
        <v>0.39800000000000002</v>
      </c>
      <c r="T128" s="1">
        <v>0.33200000000000002</v>
      </c>
      <c r="U128">
        <v>13271</v>
      </c>
      <c r="V128" s="1">
        <v>0.09</v>
      </c>
      <c r="W128">
        <v>2376</v>
      </c>
      <c r="X128" s="1">
        <v>0.71700000000000008</v>
      </c>
      <c r="Y128" s="1">
        <f>(O128-P128)/O128</f>
        <v>9.1140825093003419E-2</v>
      </c>
      <c r="Z128" s="2">
        <f>P128/M128</f>
        <v>1.9242607218048327</v>
      </c>
      <c r="AA128" s="13">
        <f t="shared" si="5"/>
        <v>45992</v>
      </c>
      <c r="AB128" t="str">
        <f>IF(X128&gt;=0.5,"Faixa 1",IF(X128=0,"Faixa 3","Faixa 2"))</f>
        <v>Faixa 1</v>
      </c>
      <c r="AC128">
        <v>1</v>
      </c>
      <c r="AD128" t="str">
        <f t="shared" si="6"/>
        <v>2025-4T</v>
      </c>
      <c r="AE128" s="1" t="str">
        <f t="shared" si="7"/>
        <v>Ate +1%</v>
      </c>
      <c r="AF128" t="str">
        <f t="shared" si="8"/>
        <v>Ate 34%</v>
      </c>
      <c r="AG128" t="str">
        <f t="shared" si="9"/>
        <v>Ate 41%</v>
      </c>
      <c r="AH128" s="1"/>
    </row>
    <row r="129" spans="1:34" x14ac:dyDescent="0.45">
      <c r="A129" t="s">
        <v>353</v>
      </c>
      <c r="B129" t="s">
        <v>219</v>
      </c>
      <c r="C129" s="13">
        <v>45992</v>
      </c>
      <c r="D129" t="s">
        <v>34</v>
      </c>
      <c r="E129" t="s">
        <v>30</v>
      </c>
      <c r="F129">
        <v>360</v>
      </c>
      <c r="G129">
        <v>245722</v>
      </c>
      <c r="H129" s="1">
        <v>0.115</v>
      </c>
      <c r="I129">
        <v>889</v>
      </c>
      <c r="J129">
        <v>33320</v>
      </c>
      <c r="K129" s="10">
        <v>0.39700000000000002</v>
      </c>
      <c r="L129">
        <v>13</v>
      </c>
      <c r="M129">
        <v>92555</v>
      </c>
      <c r="O129">
        <v>233215</v>
      </c>
      <c r="P129">
        <v>212569</v>
      </c>
      <c r="Q129" s="1">
        <v>0.251</v>
      </c>
      <c r="R129" s="1">
        <v>0.2</v>
      </c>
      <c r="S129" s="1">
        <v>0.42599999999999999</v>
      </c>
      <c r="T129" s="1">
        <v>0.37</v>
      </c>
      <c r="U129">
        <v>7630</v>
      </c>
      <c r="V129" s="1">
        <v>9.1999999999999998E-2</v>
      </c>
      <c r="W129">
        <v>3574</v>
      </c>
      <c r="X129" s="1">
        <v>0.182</v>
      </c>
      <c r="Y129" s="1">
        <f>(O129-P129)/O129</f>
        <v>8.8527753360632899E-2</v>
      </c>
      <c r="Z129" s="2">
        <f>P129/M129</f>
        <v>2.2966776511263571</v>
      </c>
      <c r="AA129" s="13">
        <f t="shared" si="5"/>
        <v>45992</v>
      </c>
      <c r="AB129" t="str">
        <f>IF(X129&gt;=0.5,"Faixa 1",IF(X129=0,"Faixa 3","Faixa 2"))</f>
        <v>Faixa 2</v>
      </c>
      <c r="AC129">
        <v>1</v>
      </c>
      <c r="AD129" t="str">
        <f t="shared" si="6"/>
        <v>2025-4T</v>
      </c>
      <c r="AE129" s="1" t="str">
        <f t="shared" si="7"/>
        <v>Acima de +1%</v>
      </c>
      <c r="AF129" t="str">
        <f t="shared" si="8"/>
        <v>Acima de 34%</v>
      </c>
      <c r="AG129" t="str">
        <f t="shared" si="9"/>
        <v>Acima de 41%</v>
      </c>
      <c r="AH129" s="1"/>
    </row>
    <row r="130" spans="1:34" x14ac:dyDescent="0.45">
      <c r="A130" t="s">
        <v>354</v>
      </c>
      <c r="B130" t="s">
        <v>355</v>
      </c>
      <c r="C130" s="13">
        <v>45992</v>
      </c>
      <c r="D130" t="s">
        <v>163</v>
      </c>
      <c r="E130" t="s">
        <v>30</v>
      </c>
      <c r="F130">
        <v>612</v>
      </c>
      <c r="G130">
        <v>266765</v>
      </c>
      <c r="H130" s="1">
        <v>6.6000000000000003E-2</v>
      </c>
      <c r="I130">
        <v>1118</v>
      </c>
      <c r="J130">
        <v>64049</v>
      </c>
      <c r="K130" s="10">
        <v>0.436</v>
      </c>
      <c r="L130">
        <v>22</v>
      </c>
      <c r="M130">
        <v>104655</v>
      </c>
      <c r="O130">
        <v>240157</v>
      </c>
      <c r="P130">
        <v>222560</v>
      </c>
      <c r="Q130" s="1">
        <v>0.20300000000000001</v>
      </c>
      <c r="R130" s="1">
        <v>0.2</v>
      </c>
      <c r="S130" s="1">
        <v>0.39600000000000002</v>
      </c>
      <c r="T130" s="1">
        <v>0.34300000000000003</v>
      </c>
      <c r="U130">
        <v>19675</v>
      </c>
      <c r="V130" s="1">
        <v>0.123</v>
      </c>
      <c r="W130">
        <v>4086</v>
      </c>
      <c r="X130" s="1">
        <v>0</v>
      </c>
      <c r="Y130" s="1">
        <f>(O130-P130)/O130</f>
        <v>7.3272900644161948E-2</v>
      </c>
      <c r="Z130" s="2">
        <f>P130/M130</f>
        <v>2.126606468873919</v>
      </c>
      <c r="AA130" s="13">
        <f t="shared" si="5"/>
        <v>45992</v>
      </c>
      <c r="AB130" t="str">
        <f>IF(X130&gt;=0.5,"Faixa 1",IF(X130=0,"Faixa 3","Faixa 2"))</f>
        <v>Faixa 3</v>
      </c>
      <c r="AC130">
        <v>1</v>
      </c>
      <c r="AD130" t="str">
        <f t="shared" si="6"/>
        <v>2025-4T</v>
      </c>
      <c r="AE130" s="1" t="str">
        <f t="shared" si="7"/>
        <v>Até +0,5%</v>
      </c>
      <c r="AF130" t="str">
        <f t="shared" si="8"/>
        <v>Acima de 34%</v>
      </c>
      <c r="AG130" t="str">
        <f t="shared" si="9"/>
        <v>Ate 41%</v>
      </c>
      <c r="AH130" s="1"/>
    </row>
    <row r="131" spans="1:34" x14ac:dyDescent="0.45">
      <c r="A131" t="s">
        <v>356</v>
      </c>
      <c r="B131" t="s">
        <v>357</v>
      </c>
      <c r="C131" s="13">
        <v>45992</v>
      </c>
      <c r="D131" t="s">
        <v>29</v>
      </c>
      <c r="E131" t="s">
        <v>30</v>
      </c>
      <c r="F131">
        <v>540</v>
      </c>
      <c r="G131">
        <v>226985</v>
      </c>
      <c r="H131" s="1">
        <v>4.2999999999999997E-2</v>
      </c>
      <c r="I131">
        <v>728</v>
      </c>
      <c r="J131">
        <v>53455</v>
      </c>
      <c r="K131" s="10">
        <v>0.42499999999999999</v>
      </c>
      <c r="L131">
        <v>19</v>
      </c>
      <c r="M131">
        <v>98991</v>
      </c>
      <c r="O131">
        <v>233120</v>
      </c>
      <c r="P131">
        <v>214048</v>
      </c>
      <c r="Q131" s="1">
        <v>0.23300000000000001</v>
      </c>
      <c r="R131" s="1">
        <v>0.2</v>
      </c>
      <c r="S131" s="1">
        <v>0.439</v>
      </c>
      <c r="T131" s="1">
        <v>0.38300000000000001</v>
      </c>
      <c r="U131">
        <v>20596</v>
      </c>
      <c r="V131" s="1">
        <v>0.157</v>
      </c>
      <c r="W131">
        <v>3152</v>
      </c>
      <c r="X131" s="1">
        <v>0.33600000000000002</v>
      </c>
      <c r="Y131" s="1">
        <f>(O131-P131)/O131</f>
        <v>8.1811942347288946E-2</v>
      </c>
      <c r="Z131" s="2">
        <f>P131/M131</f>
        <v>2.1622975826085198</v>
      </c>
      <c r="AA131" s="13">
        <f t="shared" ref="AA131:AA171" si="10">DATE(YEAR(C131),MONTH(C131),1)</f>
        <v>45992</v>
      </c>
      <c r="AB131" t="str">
        <f>IF(X131&gt;=0.5,"Faixa 1",IF(X131=0,"Faixa 3","Faixa 2"))</f>
        <v>Faixa 2</v>
      </c>
      <c r="AC131">
        <v>1</v>
      </c>
      <c r="AD131" t="str">
        <f t="shared" ref="AD131:AD171" si="11">YEAR(AA131)&amp;"-"&amp;IF(MONTH(AA131)&lt;4,1,IF(MONTH(AA131)&lt;7,2,IF(MONTH(AA131)&lt;10,3,4)))&amp;"T"</f>
        <v>2025-4T</v>
      </c>
      <c r="AE131" s="1" t="str">
        <f t="shared" ref="AE131:AE171" si="12">IF((Q131-R131)&lt;0.005,"Até +0,5%",IF((Q131-R131)&lt;0.01,"Ate +1%","Acima de +1%"))</f>
        <v>Acima de +1%</v>
      </c>
      <c r="AF131" t="str">
        <f t="shared" ref="AF131:AF171" si="13">IF($T131&lt;=0.32,"Ate 32%",IF($T131&lt;=0.34,"Ate 34%","Acima de 34%"))</f>
        <v>Acima de 34%</v>
      </c>
      <c r="AG131" t="str">
        <f t="shared" ref="AG131:AG171" si="14">IF($S131&lt;=0.39,"Ate 39%",IF($S131&lt;=0.41,"Ate 41%","Acima de 41%"))</f>
        <v>Acima de 41%</v>
      </c>
      <c r="AH131" s="1"/>
    </row>
    <row r="132" spans="1:34" x14ac:dyDescent="0.45">
      <c r="A132" t="s">
        <v>358</v>
      </c>
      <c r="B132" t="s">
        <v>359</v>
      </c>
      <c r="C132" s="13">
        <v>45992</v>
      </c>
      <c r="D132" t="s">
        <v>29</v>
      </c>
      <c r="E132" t="s">
        <v>30</v>
      </c>
      <c r="F132">
        <v>476</v>
      </c>
      <c r="G132">
        <v>227655</v>
      </c>
      <c r="H132" s="1">
        <v>8.5000000000000006E-2</v>
      </c>
      <c r="I132">
        <v>1552</v>
      </c>
      <c r="J132">
        <v>47634</v>
      </c>
      <c r="K132" s="10">
        <v>0.45100000000000001</v>
      </c>
      <c r="L132">
        <v>19</v>
      </c>
      <c r="M132">
        <v>100071</v>
      </c>
      <c r="O132">
        <v>221666</v>
      </c>
      <c r="P132">
        <v>202921</v>
      </c>
      <c r="Q132" s="1">
        <v>0.20599999999999999</v>
      </c>
      <c r="R132" s="1">
        <v>0.2</v>
      </c>
      <c r="S132" s="1">
        <v>0.373</v>
      </c>
      <c r="T132" s="1">
        <v>0.308</v>
      </c>
      <c r="U132">
        <v>11248</v>
      </c>
      <c r="V132" s="4">
        <v>0.10199999999999999</v>
      </c>
      <c r="W132">
        <v>3302</v>
      </c>
      <c r="X132" s="1">
        <v>0.25</v>
      </c>
      <c r="Y132" s="1">
        <f>(O132-P132)/O132</f>
        <v>8.4564164102749181E-2</v>
      </c>
      <c r="Z132" s="2">
        <f>P132/M132</f>
        <v>2.0277702830989996</v>
      </c>
      <c r="AA132" s="13">
        <f t="shared" si="10"/>
        <v>45992</v>
      </c>
      <c r="AB132" t="str">
        <f>IF(X132&gt;=0.5,"Faixa 1",IF(X132=0,"Faixa 3","Faixa 2"))</f>
        <v>Faixa 2</v>
      </c>
      <c r="AC132">
        <v>1</v>
      </c>
      <c r="AD132" t="str">
        <f t="shared" si="11"/>
        <v>2025-4T</v>
      </c>
      <c r="AE132" s="1" t="str">
        <f t="shared" si="12"/>
        <v>Ate +1%</v>
      </c>
      <c r="AF132" t="str">
        <f t="shared" si="13"/>
        <v>Ate 32%</v>
      </c>
      <c r="AG132" t="str">
        <f t="shared" si="14"/>
        <v>Ate 39%</v>
      </c>
      <c r="AH132" s="1"/>
    </row>
    <row r="133" spans="1:34" x14ac:dyDescent="0.45">
      <c r="A133" t="s">
        <v>360</v>
      </c>
      <c r="B133" t="s">
        <v>361</v>
      </c>
      <c r="C133" s="13">
        <v>45992</v>
      </c>
      <c r="D133" t="s">
        <v>29</v>
      </c>
      <c r="E133" t="s">
        <v>30</v>
      </c>
      <c r="F133">
        <v>213</v>
      </c>
      <c r="G133">
        <v>257981</v>
      </c>
      <c r="H133" s="1">
        <v>7.6999999999999999E-2</v>
      </c>
      <c r="I133">
        <v>2114</v>
      </c>
      <c r="J133">
        <v>24039</v>
      </c>
      <c r="K133" s="10">
        <v>0.43799999999999989</v>
      </c>
      <c r="L133">
        <v>16</v>
      </c>
      <c r="M133">
        <v>112860</v>
      </c>
      <c r="O133">
        <v>257543</v>
      </c>
      <c r="P133">
        <v>237036</v>
      </c>
      <c r="Q133" s="1">
        <v>0.20200000000000001</v>
      </c>
      <c r="R133" s="1">
        <v>0.2</v>
      </c>
      <c r="S133" s="1">
        <v>0.38</v>
      </c>
      <c r="T133" s="1">
        <v>0.32</v>
      </c>
      <c r="U133">
        <v>6586</v>
      </c>
      <c r="V133" s="1">
        <v>0.115</v>
      </c>
      <c r="W133">
        <v>3738</v>
      </c>
      <c r="X133" s="1">
        <v>0.3</v>
      </c>
      <c r="Y133" s="1">
        <f>(O133-P133)/O133</f>
        <v>7.9625538259630424E-2</v>
      </c>
      <c r="Z133" s="2">
        <f>P133/M133</f>
        <v>2.1002658160552898</v>
      </c>
      <c r="AA133" s="13">
        <f t="shared" si="10"/>
        <v>45992</v>
      </c>
      <c r="AB133" t="str">
        <f>IF(X133&gt;=0.5,"Faixa 1",IF(X133=0,"Faixa 3","Faixa 2"))</f>
        <v>Faixa 2</v>
      </c>
      <c r="AC133">
        <v>1</v>
      </c>
      <c r="AD133" t="str">
        <f t="shared" si="11"/>
        <v>2025-4T</v>
      </c>
      <c r="AE133" s="1" t="str">
        <f t="shared" si="12"/>
        <v>Até +0,5%</v>
      </c>
      <c r="AF133" t="str">
        <f t="shared" si="13"/>
        <v>Ate 32%</v>
      </c>
      <c r="AG133" t="str">
        <f t="shared" si="14"/>
        <v>Ate 39%</v>
      </c>
      <c r="AH133" s="1"/>
    </row>
    <row r="134" spans="1:34" x14ac:dyDescent="0.45">
      <c r="A134" t="s">
        <v>362</v>
      </c>
      <c r="B134" t="s">
        <v>363</v>
      </c>
      <c r="C134" s="13">
        <v>45993</v>
      </c>
      <c r="E134" t="s">
        <v>30</v>
      </c>
      <c r="F134">
        <v>1103</v>
      </c>
      <c r="G134">
        <v>299691</v>
      </c>
      <c r="H134" s="5">
        <v>0.17</v>
      </c>
      <c r="I134" s="7">
        <v>4474</v>
      </c>
      <c r="J134">
        <v>111238</v>
      </c>
      <c r="K134" s="10">
        <v>0.36399999999999999</v>
      </c>
      <c r="L134">
        <v>22</v>
      </c>
      <c r="M134">
        <v>100851</v>
      </c>
      <c r="O134">
        <v>276768</v>
      </c>
      <c r="P134">
        <v>260917</v>
      </c>
      <c r="Q134" s="1">
        <v>0.2</v>
      </c>
      <c r="R134" s="1">
        <v>0.2</v>
      </c>
      <c r="S134" s="1">
        <v>0.37799999999999989</v>
      </c>
      <c r="T134" s="1">
        <v>0.33500000000000002</v>
      </c>
      <c r="U134">
        <v>13544</v>
      </c>
      <c r="V134" s="1">
        <v>3.7999999999999999E-2</v>
      </c>
      <c r="W134">
        <v>5311</v>
      </c>
      <c r="X134" s="1">
        <v>9.0000000000000011E-3</v>
      </c>
      <c r="Y134" s="1">
        <f>(O134-P134)/O134</f>
        <v>5.7271794427101397E-2</v>
      </c>
      <c r="Z134" s="2">
        <f>P134/M134</f>
        <v>2.5871533252025265</v>
      </c>
      <c r="AA134" s="13">
        <f t="shared" si="10"/>
        <v>45992</v>
      </c>
      <c r="AB134" t="str">
        <f>IF(X134&gt;=0.5,"Faixa 1",IF(X134=0,"Faixa 3","Faixa 2"))</f>
        <v>Faixa 2</v>
      </c>
      <c r="AC134">
        <v>1</v>
      </c>
      <c r="AD134" t="str">
        <f t="shared" si="11"/>
        <v>2025-4T</v>
      </c>
      <c r="AE134" s="1" t="str">
        <f t="shared" si="12"/>
        <v>Até +0,5%</v>
      </c>
      <c r="AF134" t="str">
        <f t="shared" si="13"/>
        <v>Ate 34%</v>
      </c>
      <c r="AG134" t="str">
        <f t="shared" si="14"/>
        <v>Ate 39%</v>
      </c>
      <c r="AH134" s="1"/>
    </row>
    <row r="135" spans="1:34" x14ac:dyDescent="0.45">
      <c r="A135" t="s">
        <v>365</v>
      </c>
      <c r="B135" t="s">
        <v>252</v>
      </c>
      <c r="C135" s="13">
        <v>45999</v>
      </c>
      <c r="D135" t="s">
        <v>163</v>
      </c>
      <c r="E135" t="s">
        <v>30</v>
      </c>
      <c r="F135">
        <v>1092</v>
      </c>
      <c r="G135">
        <v>254759</v>
      </c>
      <c r="H135" s="1">
        <v>7.2999999999999995E-2</v>
      </c>
      <c r="I135">
        <v>1063</v>
      </c>
      <c r="J135">
        <v>119090</v>
      </c>
      <c r="K135" s="10">
        <v>0.44299999999999989</v>
      </c>
      <c r="L135">
        <v>22</v>
      </c>
      <c r="M135">
        <v>109057</v>
      </c>
      <c r="O135">
        <v>246303</v>
      </c>
      <c r="P135">
        <v>226264</v>
      </c>
      <c r="Q135" s="1">
        <v>0.2</v>
      </c>
      <c r="R135" s="1">
        <v>0.2</v>
      </c>
      <c r="S135" s="1">
        <v>0.38600000000000001</v>
      </c>
      <c r="T135" s="1">
        <v>0.32500000000000001</v>
      </c>
      <c r="U135">
        <v>25678</v>
      </c>
      <c r="V135" s="1">
        <v>8.8000000000000009E-2</v>
      </c>
      <c r="W135">
        <v>3811</v>
      </c>
      <c r="X135" s="1">
        <v>0.27700000000000002</v>
      </c>
      <c r="Y135" s="1">
        <f>(O135-P135)/O135</f>
        <v>8.1359138946744458E-2</v>
      </c>
      <c r="Z135" s="2">
        <f>P135/M135</f>
        <v>2.0747315623939775</v>
      </c>
      <c r="AA135" s="13">
        <f t="shared" si="10"/>
        <v>45992</v>
      </c>
      <c r="AB135" t="str">
        <f>IF(X135&gt;=0.5,"Faixa 1",IF(X135=0,"Faixa 3","Faixa 2"))</f>
        <v>Faixa 2</v>
      </c>
      <c r="AC135">
        <v>1</v>
      </c>
      <c r="AD135" t="str">
        <f t="shared" si="11"/>
        <v>2025-4T</v>
      </c>
      <c r="AE135" s="1" t="str">
        <f t="shared" si="12"/>
        <v>Até +0,5%</v>
      </c>
      <c r="AF135" t="str">
        <f t="shared" si="13"/>
        <v>Ate 34%</v>
      </c>
      <c r="AG135" t="str">
        <f t="shared" si="14"/>
        <v>Ate 39%</v>
      </c>
      <c r="AH135" s="1"/>
    </row>
    <row r="136" spans="1:34" x14ac:dyDescent="0.45">
      <c r="A136" t="s">
        <v>367</v>
      </c>
      <c r="B136" t="s">
        <v>141</v>
      </c>
      <c r="C136" s="13">
        <v>45999</v>
      </c>
      <c r="D136" t="s">
        <v>368</v>
      </c>
      <c r="E136" t="s">
        <v>30</v>
      </c>
      <c r="F136">
        <v>1140</v>
      </c>
      <c r="G136">
        <v>249113</v>
      </c>
      <c r="H136" s="1">
        <v>1.6E-2</v>
      </c>
      <c r="I136">
        <v>360</v>
      </c>
      <c r="J136">
        <v>119109</v>
      </c>
      <c r="K136" s="10">
        <v>0.46600000000000003</v>
      </c>
      <c r="L136">
        <v>23</v>
      </c>
      <c r="M136">
        <v>104482</v>
      </c>
      <c r="O136">
        <v>224338</v>
      </c>
      <c r="P136">
        <v>205299</v>
      </c>
      <c r="Q136" s="1">
        <v>0.23699999999999999</v>
      </c>
      <c r="R136" s="1">
        <v>0.2</v>
      </c>
      <c r="S136" s="1">
        <v>0.42099999999999999</v>
      </c>
      <c r="T136" s="1">
        <v>0.36</v>
      </c>
      <c r="U136">
        <v>19604</v>
      </c>
      <c r="V136" s="1">
        <v>7.0000000000000007E-2</v>
      </c>
      <c r="W136">
        <v>2924</v>
      </c>
      <c r="X136" s="1">
        <v>0.441</v>
      </c>
      <c r="Y136" s="1">
        <f>(O136-P136)/O136</f>
        <v>8.4867476753826818E-2</v>
      </c>
      <c r="Z136" s="2">
        <f>P136/M136</f>
        <v>1.964922187553837</v>
      </c>
      <c r="AA136" s="13">
        <f t="shared" si="10"/>
        <v>45992</v>
      </c>
      <c r="AB136" t="str">
        <f>IF(X136&gt;=0.5,"Faixa 1",IF(X136=0,"Faixa 3","Faixa 2"))</f>
        <v>Faixa 2</v>
      </c>
      <c r="AC136">
        <v>1</v>
      </c>
      <c r="AD136" t="str">
        <f t="shared" si="11"/>
        <v>2025-4T</v>
      </c>
      <c r="AE136" s="1" t="str">
        <f t="shared" si="12"/>
        <v>Acima de +1%</v>
      </c>
      <c r="AF136" t="str">
        <f t="shared" si="13"/>
        <v>Acima de 34%</v>
      </c>
      <c r="AG136" t="str">
        <f t="shared" si="14"/>
        <v>Acima de 41%</v>
      </c>
      <c r="AH136" s="1"/>
    </row>
    <row r="137" spans="1:34" x14ac:dyDescent="0.45">
      <c r="A137" t="s">
        <v>369</v>
      </c>
      <c r="B137" t="s">
        <v>370</v>
      </c>
      <c r="C137" s="13">
        <v>45999</v>
      </c>
      <c r="D137" t="s">
        <v>302</v>
      </c>
      <c r="E137" t="s">
        <v>30</v>
      </c>
      <c r="F137">
        <v>783</v>
      </c>
      <c r="G137">
        <v>264157</v>
      </c>
      <c r="H137" s="1">
        <v>9.3000000000000013E-2</v>
      </c>
      <c r="I137">
        <v>1281</v>
      </c>
      <c r="J137">
        <v>80412</v>
      </c>
      <c r="K137" s="10">
        <v>0.39500000000000002</v>
      </c>
      <c r="L137">
        <v>20</v>
      </c>
      <c r="M137">
        <v>102698</v>
      </c>
      <c r="O137">
        <v>260008</v>
      </c>
      <c r="P137">
        <v>237427</v>
      </c>
      <c r="Q137" s="1">
        <v>0.2</v>
      </c>
      <c r="R137" s="1">
        <v>0.2</v>
      </c>
      <c r="S137" s="1">
        <v>0.41</v>
      </c>
      <c r="T137" s="1">
        <v>0.34899999999999998</v>
      </c>
      <c r="U137">
        <v>18851</v>
      </c>
      <c r="V137" s="1">
        <v>8.5000000000000006E-2</v>
      </c>
      <c r="W137">
        <v>4298</v>
      </c>
      <c r="X137" s="1">
        <v>0</v>
      </c>
      <c r="Y137" s="1">
        <f>(O137-P137)/O137</f>
        <v>8.6847327774530012E-2</v>
      </c>
      <c r="Z137" s="2">
        <f>P137/M137</f>
        <v>2.3118950709848294</v>
      </c>
      <c r="AA137" s="13">
        <f t="shared" si="10"/>
        <v>45992</v>
      </c>
      <c r="AB137" t="str">
        <f>IF(X137&gt;=0.5,"Faixa 1",IF(X137=0,"Faixa 3","Faixa 2"))</f>
        <v>Faixa 3</v>
      </c>
      <c r="AC137">
        <v>1</v>
      </c>
      <c r="AD137" t="str">
        <f t="shared" si="11"/>
        <v>2025-4T</v>
      </c>
      <c r="AE137" s="1" t="str">
        <f t="shared" si="12"/>
        <v>Até +0,5%</v>
      </c>
      <c r="AF137" t="str">
        <f t="shared" si="13"/>
        <v>Acima de 34%</v>
      </c>
      <c r="AG137" t="str">
        <f t="shared" si="14"/>
        <v>Ate 41%</v>
      </c>
      <c r="AH137" s="1"/>
    </row>
    <row r="138" spans="1:34" x14ac:dyDescent="0.45">
      <c r="A138" t="s">
        <v>371</v>
      </c>
      <c r="B138" t="s">
        <v>372</v>
      </c>
      <c r="C138" s="13">
        <v>45999</v>
      </c>
      <c r="D138" t="s">
        <v>44</v>
      </c>
      <c r="E138" t="s">
        <v>30</v>
      </c>
      <c r="F138">
        <v>532</v>
      </c>
      <c r="G138">
        <v>219601</v>
      </c>
      <c r="H138" s="1">
        <v>9.9000000000000005E-2</v>
      </c>
      <c r="I138">
        <v>697</v>
      </c>
      <c r="J138">
        <v>49407</v>
      </c>
      <c r="K138" s="10">
        <v>0.436</v>
      </c>
      <c r="L138">
        <v>16</v>
      </c>
      <c r="M138">
        <v>92871</v>
      </c>
      <c r="O138">
        <v>213044</v>
      </c>
      <c r="P138">
        <v>193042</v>
      </c>
      <c r="Q138" s="1">
        <v>0.20200000000000001</v>
      </c>
      <c r="R138" s="1">
        <v>0.2</v>
      </c>
      <c r="S138" s="1">
        <v>0.38400000000000001</v>
      </c>
      <c r="T138" s="1">
        <v>0.314</v>
      </c>
      <c r="U138">
        <v>15619</v>
      </c>
      <c r="V138" s="1">
        <v>0.13800000000000001</v>
      </c>
      <c r="W138">
        <v>2769</v>
      </c>
      <c r="X138" s="1">
        <v>0.60799999999999998</v>
      </c>
      <c r="Y138" s="1">
        <f>(O138-P138)/O138</f>
        <v>9.3886708848876288E-2</v>
      </c>
      <c r="Z138" s="2">
        <f>P138/M138</f>
        <v>2.0786036545315545</v>
      </c>
      <c r="AA138" s="13">
        <f t="shared" si="10"/>
        <v>45992</v>
      </c>
      <c r="AB138" t="str">
        <f>IF(X138&gt;=0.5,"Faixa 1",IF(X138=0,"Faixa 3","Faixa 2"))</f>
        <v>Faixa 1</v>
      </c>
      <c r="AC138">
        <v>1</v>
      </c>
      <c r="AD138" t="str">
        <f t="shared" si="11"/>
        <v>2025-4T</v>
      </c>
      <c r="AE138" s="1" t="str">
        <f t="shared" si="12"/>
        <v>Até +0,5%</v>
      </c>
      <c r="AF138" t="str">
        <f t="shared" si="13"/>
        <v>Ate 32%</v>
      </c>
      <c r="AG138" t="str">
        <f t="shared" si="14"/>
        <v>Ate 39%</v>
      </c>
      <c r="AH138" s="1"/>
    </row>
    <row r="139" spans="1:34" x14ac:dyDescent="0.45">
      <c r="A139" t="s">
        <v>373</v>
      </c>
      <c r="B139" t="s">
        <v>374</v>
      </c>
      <c r="C139" s="13">
        <v>45999</v>
      </c>
      <c r="E139" t="s">
        <v>30</v>
      </c>
      <c r="F139">
        <v>952</v>
      </c>
      <c r="G139">
        <v>230000</v>
      </c>
      <c r="H139" s="1">
        <v>9.9000000000000005E-2</v>
      </c>
      <c r="I139">
        <v>2086</v>
      </c>
      <c r="J139">
        <v>93190</v>
      </c>
      <c r="K139" s="10">
        <v>0.44700000000000001</v>
      </c>
      <c r="L139">
        <v>25</v>
      </c>
      <c r="M139">
        <v>97888</v>
      </c>
      <c r="O139">
        <v>219216</v>
      </c>
      <c r="P139">
        <v>197616</v>
      </c>
      <c r="Q139" s="1">
        <v>0.20100000000000001</v>
      </c>
      <c r="R139" s="1">
        <v>0.2</v>
      </c>
      <c r="S139" s="1">
        <v>0.36</v>
      </c>
      <c r="T139" s="1">
        <v>0.28000000000000003</v>
      </c>
      <c r="U139">
        <v>15303</v>
      </c>
      <c r="V139" s="1">
        <v>6.7000000000000004E-2</v>
      </c>
      <c r="W139">
        <v>2573</v>
      </c>
      <c r="X139" s="1">
        <v>0.75</v>
      </c>
      <c r="Y139" s="1">
        <f>(O139-P139)/O139</f>
        <v>9.8532953798992781E-2</v>
      </c>
      <c r="Z139" s="2">
        <f>P139/M139</f>
        <v>2.018796992481203</v>
      </c>
      <c r="AA139" s="13">
        <f t="shared" si="10"/>
        <v>45992</v>
      </c>
      <c r="AB139" t="str">
        <f>IF(X139&gt;=0.5,"Faixa 1",IF(X139=0,"Faixa 3","Faixa 2"))</f>
        <v>Faixa 1</v>
      </c>
      <c r="AC139">
        <v>1</v>
      </c>
      <c r="AD139" t="str">
        <f t="shared" si="11"/>
        <v>2025-4T</v>
      </c>
      <c r="AE139" s="1" t="str">
        <f t="shared" si="12"/>
        <v>Até +0,5%</v>
      </c>
      <c r="AF139" t="str">
        <f t="shared" si="13"/>
        <v>Ate 32%</v>
      </c>
      <c r="AG139" t="str">
        <f t="shared" si="14"/>
        <v>Ate 39%</v>
      </c>
      <c r="AH139" s="1"/>
    </row>
    <row r="140" spans="1:34" x14ac:dyDescent="0.45">
      <c r="A140" t="s">
        <v>375</v>
      </c>
      <c r="B140" t="s">
        <v>376</v>
      </c>
      <c r="C140" s="13">
        <v>45999</v>
      </c>
      <c r="D140" t="s">
        <v>29</v>
      </c>
      <c r="E140" t="s">
        <v>30</v>
      </c>
      <c r="F140">
        <v>285</v>
      </c>
      <c r="G140">
        <v>250807</v>
      </c>
      <c r="H140" s="1">
        <v>4.3999999999999997E-2</v>
      </c>
      <c r="I140">
        <v>992</v>
      </c>
      <c r="J140">
        <v>32482</v>
      </c>
      <c r="K140" s="10">
        <v>0.46400000000000002</v>
      </c>
      <c r="L140">
        <v>16</v>
      </c>
      <c r="M140">
        <v>113972</v>
      </c>
      <c r="O140">
        <v>245737</v>
      </c>
      <c r="P140">
        <v>225489</v>
      </c>
      <c r="Q140" s="1">
        <v>0.20100000000000001</v>
      </c>
      <c r="R140" s="1">
        <v>0.2</v>
      </c>
      <c r="S140" s="1">
        <v>0.40100000000000002</v>
      </c>
      <c r="T140" s="1">
        <v>0.34200000000000003</v>
      </c>
      <c r="U140">
        <v>11516</v>
      </c>
      <c r="V140" s="1">
        <v>0.156</v>
      </c>
      <c r="W140">
        <v>4100</v>
      </c>
      <c r="X140" s="1">
        <v>0</v>
      </c>
      <c r="Y140" s="1">
        <f>(O140-P140)/O140</f>
        <v>8.2397034227649879E-2</v>
      </c>
      <c r="Z140" s="2">
        <f>P140/M140</f>
        <v>1.9784596216614607</v>
      </c>
      <c r="AA140" s="13">
        <f t="shared" si="10"/>
        <v>45992</v>
      </c>
      <c r="AB140" t="str">
        <f>IF(X140&gt;=0.5,"Faixa 1",IF(X140=0,"Faixa 3","Faixa 2"))</f>
        <v>Faixa 3</v>
      </c>
      <c r="AC140">
        <v>1</v>
      </c>
      <c r="AD140" t="str">
        <f t="shared" si="11"/>
        <v>2025-4T</v>
      </c>
      <c r="AE140" s="1" t="str">
        <f t="shared" si="12"/>
        <v>Até +0,5%</v>
      </c>
      <c r="AF140" t="str">
        <f t="shared" si="13"/>
        <v>Acima de 34%</v>
      </c>
      <c r="AG140" t="str">
        <f t="shared" si="14"/>
        <v>Ate 41%</v>
      </c>
      <c r="AH140" s="1"/>
    </row>
    <row r="141" spans="1:34" x14ac:dyDescent="0.45">
      <c r="A141" t="s">
        <v>377</v>
      </c>
      <c r="B141" t="s">
        <v>378</v>
      </c>
      <c r="C141" s="13">
        <v>46003</v>
      </c>
      <c r="D141" t="s">
        <v>204</v>
      </c>
      <c r="E141" t="s">
        <v>30</v>
      </c>
      <c r="F141">
        <v>444</v>
      </c>
      <c r="G141">
        <v>209432</v>
      </c>
      <c r="H141" s="1">
        <v>6.0999999999999999E-2</v>
      </c>
      <c r="I141">
        <v>595</v>
      </c>
      <c r="J141">
        <v>44228</v>
      </c>
      <c r="K141" s="10">
        <v>0.45700000000000002</v>
      </c>
      <c r="L141">
        <v>19</v>
      </c>
      <c r="M141">
        <v>99613</v>
      </c>
      <c r="O141">
        <v>217978</v>
      </c>
      <c r="P141">
        <v>197100</v>
      </c>
      <c r="Q141" s="1">
        <v>0.19</v>
      </c>
      <c r="R141" s="1">
        <v>0.2</v>
      </c>
      <c r="S141" s="1">
        <v>0.39600000000000002</v>
      </c>
      <c r="T141" s="1">
        <v>0.32500000000000001</v>
      </c>
      <c r="U141">
        <v>16218</v>
      </c>
      <c r="V141" s="1">
        <v>0.16900000000000001</v>
      </c>
      <c r="W141">
        <v>2966</v>
      </c>
      <c r="X141" s="1">
        <v>0.49299999999999999</v>
      </c>
      <c r="Y141" s="1">
        <f>(O141-P141)/O141</f>
        <v>9.5780308104487608E-2</v>
      </c>
      <c r="Z141" s="2">
        <f>P141/M141</f>
        <v>1.9786574041540763</v>
      </c>
      <c r="AA141" s="13">
        <f t="shared" si="10"/>
        <v>45992</v>
      </c>
      <c r="AB141" t="str">
        <f>IF(X141&gt;=0.5,"Faixa 1",IF(X141=0,"Faixa 3","Faixa 2"))</f>
        <v>Faixa 2</v>
      </c>
      <c r="AC141">
        <v>1</v>
      </c>
      <c r="AD141" t="str">
        <f t="shared" si="11"/>
        <v>2025-4T</v>
      </c>
      <c r="AE141" s="1" t="str">
        <f t="shared" si="12"/>
        <v>Até +0,5%</v>
      </c>
      <c r="AF141" t="str">
        <f t="shared" si="13"/>
        <v>Ate 34%</v>
      </c>
      <c r="AG141" t="str">
        <f t="shared" si="14"/>
        <v>Ate 41%</v>
      </c>
      <c r="AH141" s="1"/>
    </row>
    <row r="142" spans="1:34" x14ac:dyDescent="0.45">
      <c r="A142" t="s">
        <v>380</v>
      </c>
      <c r="B142" t="s">
        <v>381</v>
      </c>
      <c r="C142" s="13">
        <v>46003</v>
      </c>
      <c r="D142" t="s">
        <v>29</v>
      </c>
      <c r="E142" t="s">
        <v>30</v>
      </c>
      <c r="F142">
        <v>496</v>
      </c>
      <c r="G142">
        <v>240000</v>
      </c>
      <c r="H142" s="1">
        <v>7.0000000000000007E-2</v>
      </c>
      <c r="I142">
        <v>1561</v>
      </c>
      <c r="J142">
        <v>49492</v>
      </c>
      <c r="K142" s="10">
        <v>0.43700000000000011</v>
      </c>
      <c r="L142">
        <v>18</v>
      </c>
      <c r="M142">
        <v>99782</v>
      </c>
      <c r="O142">
        <v>228529</v>
      </c>
      <c r="P142">
        <v>204827</v>
      </c>
      <c r="Q142" s="1">
        <v>0.2</v>
      </c>
      <c r="R142" s="1">
        <v>0.2</v>
      </c>
      <c r="S142" s="1">
        <v>0.40200000000000002</v>
      </c>
      <c r="T142" s="1">
        <v>0.32500000000000001</v>
      </c>
      <c r="U142">
        <v>15876</v>
      </c>
      <c r="V142" s="1">
        <v>0.13100000000000001</v>
      </c>
      <c r="W142">
        <v>3563</v>
      </c>
      <c r="X142" s="1">
        <v>0.25</v>
      </c>
      <c r="Y142" s="1">
        <f>(O142-P142)/O142</f>
        <v>0.10371550219009404</v>
      </c>
      <c r="Z142" s="2">
        <f>P142/M142</f>
        <v>2.0527449840652623</v>
      </c>
      <c r="AA142" s="13">
        <f t="shared" si="10"/>
        <v>45992</v>
      </c>
      <c r="AB142" t="str">
        <f>IF(X142&gt;=0.5,"Faixa 1",IF(X142=0,"Faixa 3","Faixa 2"))</f>
        <v>Faixa 2</v>
      </c>
      <c r="AC142">
        <v>1</v>
      </c>
      <c r="AD142" t="str">
        <f t="shared" si="11"/>
        <v>2025-4T</v>
      </c>
      <c r="AE142" s="1" t="str">
        <f t="shared" si="12"/>
        <v>Até +0,5%</v>
      </c>
      <c r="AF142" t="str">
        <f t="shared" si="13"/>
        <v>Ate 34%</v>
      </c>
      <c r="AG142" t="str">
        <f t="shared" si="14"/>
        <v>Ate 41%</v>
      </c>
      <c r="AH142" s="1"/>
    </row>
    <row r="143" spans="1:34" x14ac:dyDescent="0.45">
      <c r="A143" t="s">
        <v>383</v>
      </c>
      <c r="B143" t="s">
        <v>384</v>
      </c>
      <c r="C143" s="13">
        <v>46003</v>
      </c>
      <c r="D143" t="s">
        <v>29</v>
      </c>
      <c r="E143" t="s">
        <v>30</v>
      </c>
      <c r="F143">
        <v>428</v>
      </c>
      <c r="G143">
        <v>297220</v>
      </c>
      <c r="H143" s="1">
        <v>0.105</v>
      </c>
      <c r="I143">
        <v>2902</v>
      </c>
      <c r="J143">
        <v>48140</v>
      </c>
      <c r="K143" s="10">
        <v>0.38800000000000001</v>
      </c>
      <c r="L143">
        <v>20</v>
      </c>
      <c r="M143">
        <v>112476</v>
      </c>
      <c r="O143">
        <v>289733</v>
      </c>
      <c r="P143">
        <v>266959</v>
      </c>
      <c r="Q143" s="1">
        <v>0.224</v>
      </c>
      <c r="R143" s="1">
        <v>0.2</v>
      </c>
      <c r="S143" s="1">
        <v>0.41899999999999998</v>
      </c>
      <c r="T143" s="1">
        <v>0.36299999999999999</v>
      </c>
      <c r="U143">
        <v>10380</v>
      </c>
      <c r="V143" s="1">
        <v>8.1000000000000003E-2</v>
      </c>
      <c r="W143">
        <v>5876</v>
      </c>
      <c r="X143" s="1">
        <v>0</v>
      </c>
      <c r="Y143" s="1">
        <f>(O143-P143)/O143</f>
        <v>7.8603403823520282E-2</v>
      </c>
      <c r="Z143" s="2">
        <f>P143/M143</f>
        <v>2.3734752302713469</v>
      </c>
      <c r="AA143" s="13">
        <f t="shared" si="10"/>
        <v>45992</v>
      </c>
      <c r="AB143" t="str">
        <f>IF(X143&gt;=0.5,"Faixa 1",IF(X143=0,"Faixa 3","Faixa 2"))</f>
        <v>Faixa 3</v>
      </c>
      <c r="AC143">
        <v>1</v>
      </c>
      <c r="AD143" t="str">
        <f t="shared" si="11"/>
        <v>2025-4T</v>
      </c>
      <c r="AE143" s="1" t="str">
        <f t="shared" si="12"/>
        <v>Acima de +1%</v>
      </c>
      <c r="AF143" t="str">
        <f t="shared" si="13"/>
        <v>Acima de 34%</v>
      </c>
      <c r="AG143" t="str">
        <f t="shared" si="14"/>
        <v>Acima de 41%</v>
      </c>
      <c r="AH143" s="1"/>
    </row>
    <row r="144" spans="1:34" x14ac:dyDescent="0.45">
      <c r="A144" t="s">
        <v>385</v>
      </c>
      <c r="B144" t="s">
        <v>386</v>
      </c>
      <c r="C144" s="13">
        <v>46003</v>
      </c>
      <c r="D144" t="s">
        <v>204</v>
      </c>
      <c r="E144" t="s">
        <v>30</v>
      </c>
      <c r="F144">
        <v>796</v>
      </c>
      <c r="G144">
        <v>268088</v>
      </c>
      <c r="H144" s="1">
        <v>7.9000000000000001E-2</v>
      </c>
      <c r="I144">
        <v>3621</v>
      </c>
      <c r="J144">
        <v>85911</v>
      </c>
      <c r="K144" s="10">
        <v>0.45</v>
      </c>
      <c r="L144">
        <v>27</v>
      </c>
      <c r="M144">
        <v>107929</v>
      </c>
      <c r="O144">
        <v>239881</v>
      </c>
      <c r="P144">
        <v>219296</v>
      </c>
      <c r="Q144" s="1">
        <v>0.2</v>
      </c>
      <c r="R144" s="1">
        <v>0.2</v>
      </c>
      <c r="S144" s="1">
        <v>0.371</v>
      </c>
      <c r="T144" s="1">
        <v>0.30299999999999999</v>
      </c>
      <c r="U144">
        <v>11753</v>
      </c>
      <c r="V144" s="1">
        <v>6.2E-2</v>
      </c>
      <c r="W144">
        <v>3700</v>
      </c>
      <c r="X144" s="1">
        <v>0.20300000000000001</v>
      </c>
      <c r="Y144" s="1">
        <f>(O144-P144)/O144</f>
        <v>8.5813382468807445E-2</v>
      </c>
      <c r="Z144" s="2">
        <f>P144/M144</f>
        <v>2.031854274569393</v>
      </c>
      <c r="AA144" s="13">
        <f t="shared" si="10"/>
        <v>45992</v>
      </c>
      <c r="AB144" t="str">
        <f>IF(X144&gt;=0.5,"Faixa 1",IF(X144=0,"Faixa 3","Faixa 2"))</f>
        <v>Faixa 2</v>
      </c>
      <c r="AC144">
        <v>1</v>
      </c>
      <c r="AD144" t="str">
        <f t="shared" si="11"/>
        <v>2025-4T</v>
      </c>
      <c r="AE144" s="1" t="str">
        <f t="shared" si="12"/>
        <v>Até +0,5%</v>
      </c>
      <c r="AF144" t="str">
        <f t="shared" si="13"/>
        <v>Ate 32%</v>
      </c>
      <c r="AG144" t="str">
        <f t="shared" si="14"/>
        <v>Ate 39%</v>
      </c>
      <c r="AH144" s="1"/>
    </row>
    <row r="145" spans="1:34" x14ac:dyDescent="0.45">
      <c r="A145" t="s">
        <v>387</v>
      </c>
      <c r="B145" t="s">
        <v>388</v>
      </c>
      <c r="C145" s="13">
        <v>46006</v>
      </c>
      <c r="D145" t="s">
        <v>136</v>
      </c>
      <c r="E145" t="s">
        <v>30</v>
      </c>
      <c r="F145">
        <v>568</v>
      </c>
      <c r="G145">
        <v>236900</v>
      </c>
      <c r="H145" s="1">
        <v>3.1E-2</v>
      </c>
      <c r="I145">
        <v>400</v>
      </c>
      <c r="J145">
        <v>61773</v>
      </c>
      <c r="K145" s="10">
        <v>0.47499999999999998</v>
      </c>
      <c r="L145">
        <v>21</v>
      </c>
      <c r="M145">
        <v>108756</v>
      </c>
      <c r="O145">
        <v>228739</v>
      </c>
      <c r="P145">
        <v>209271</v>
      </c>
      <c r="Q145" s="1">
        <v>0.218</v>
      </c>
      <c r="R145" s="1">
        <v>0.2</v>
      </c>
      <c r="S145" s="1">
        <v>0.40200000000000002</v>
      </c>
      <c r="T145" s="1">
        <v>0.33900000000000002</v>
      </c>
      <c r="U145">
        <v>16017</v>
      </c>
      <c r="V145" s="1">
        <v>0.112</v>
      </c>
      <c r="W145">
        <v>2964</v>
      </c>
      <c r="X145" s="1">
        <v>0.41099999999999998</v>
      </c>
      <c r="Y145" s="1">
        <f>(O145-P145)/O145</f>
        <v>8.5110103655257743E-2</v>
      </c>
      <c r="Z145" s="2">
        <f>P145/M145</f>
        <v>1.9242248703519806</v>
      </c>
      <c r="AA145" s="13">
        <f t="shared" si="10"/>
        <v>45992</v>
      </c>
      <c r="AB145" t="str">
        <f>IF(X145&gt;=0.5,"Faixa 1",IF(X145=0,"Faixa 3","Faixa 2"))</f>
        <v>Faixa 2</v>
      </c>
      <c r="AC145">
        <v>1</v>
      </c>
      <c r="AD145" t="str">
        <f t="shared" si="11"/>
        <v>2025-4T</v>
      </c>
      <c r="AE145" s="1" t="str">
        <f t="shared" si="12"/>
        <v>Acima de +1%</v>
      </c>
      <c r="AF145" t="str">
        <f t="shared" si="13"/>
        <v>Ate 34%</v>
      </c>
      <c r="AG145" t="str">
        <f t="shared" si="14"/>
        <v>Ate 41%</v>
      </c>
      <c r="AH145" s="1"/>
    </row>
    <row r="146" spans="1:34" x14ac:dyDescent="0.45">
      <c r="A146" t="s">
        <v>390</v>
      </c>
      <c r="B146" t="s">
        <v>345</v>
      </c>
      <c r="C146" s="13">
        <v>46010</v>
      </c>
      <c r="D146" t="s">
        <v>312</v>
      </c>
      <c r="E146" t="s">
        <v>30</v>
      </c>
      <c r="F146">
        <v>494</v>
      </c>
      <c r="G146">
        <v>243006</v>
      </c>
      <c r="H146" s="1">
        <v>8.8000000000000009E-2</v>
      </c>
      <c r="I146">
        <v>2398</v>
      </c>
      <c r="J146">
        <v>49509</v>
      </c>
      <c r="K146" s="10">
        <v>0.42</v>
      </c>
      <c r="L146">
        <v>19</v>
      </c>
      <c r="M146">
        <v>100220</v>
      </c>
      <c r="O146">
        <v>238783</v>
      </c>
      <c r="P146">
        <v>217628</v>
      </c>
      <c r="Q146" s="1">
        <v>0.19700000000000001</v>
      </c>
      <c r="R146" s="1">
        <v>0.2</v>
      </c>
      <c r="S146" s="1">
        <v>0.39900000000000002</v>
      </c>
      <c r="T146" s="1">
        <v>0.33400000000000002</v>
      </c>
      <c r="U146">
        <v>15273</v>
      </c>
      <c r="V146" s="1">
        <v>0.13100000000000001</v>
      </c>
      <c r="W146">
        <v>4135</v>
      </c>
      <c r="X146" s="1">
        <v>0</v>
      </c>
      <c r="Y146" s="1">
        <f>(O146-P146)/O146</f>
        <v>8.8595084239665306E-2</v>
      </c>
      <c r="Z146" s="2">
        <f>P146/M146</f>
        <v>2.1715026940730393</v>
      </c>
      <c r="AA146" s="13">
        <f t="shared" si="10"/>
        <v>45992</v>
      </c>
      <c r="AB146" t="str">
        <f>IF(X146&gt;=0.5,"Faixa 1",IF(X146=0,"Faixa 3","Faixa 2"))</f>
        <v>Faixa 3</v>
      </c>
      <c r="AC146">
        <v>1</v>
      </c>
      <c r="AD146" t="str">
        <f t="shared" si="11"/>
        <v>2025-4T</v>
      </c>
      <c r="AE146" s="1" t="str">
        <f t="shared" si="12"/>
        <v>Até +0,5%</v>
      </c>
      <c r="AF146" t="str">
        <f t="shared" si="13"/>
        <v>Ate 34%</v>
      </c>
      <c r="AG146" t="str">
        <f t="shared" si="14"/>
        <v>Ate 41%</v>
      </c>
      <c r="AH146" s="1"/>
    </row>
    <row r="147" spans="1:34" x14ac:dyDescent="0.45">
      <c r="A147" t="s">
        <v>392</v>
      </c>
      <c r="B147" t="s">
        <v>393</v>
      </c>
      <c r="C147" s="13">
        <v>46010</v>
      </c>
      <c r="D147" t="s">
        <v>29</v>
      </c>
      <c r="E147" t="s">
        <v>30</v>
      </c>
      <c r="F147">
        <v>354</v>
      </c>
      <c r="G147">
        <v>231751</v>
      </c>
      <c r="H147" s="1">
        <v>9.3000000000000013E-2</v>
      </c>
      <c r="I147">
        <v>829</v>
      </c>
      <c r="J147">
        <v>34938</v>
      </c>
      <c r="K147" s="10">
        <v>0.44400000000000001</v>
      </c>
      <c r="L147">
        <v>12</v>
      </c>
      <c r="M147">
        <v>98695</v>
      </c>
      <c r="O147">
        <v>222366</v>
      </c>
      <c r="P147">
        <v>201782</v>
      </c>
      <c r="Q147" s="1">
        <v>0.2</v>
      </c>
      <c r="R147" s="1">
        <v>0.2</v>
      </c>
      <c r="S147" s="1">
        <v>0.38800000000000001</v>
      </c>
      <c r="T147" s="1">
        <v>0.32</v>
      </c>
      <c r="U147">
        <v>11729</v>
      </c>
      <c r="V147" s="1">
        <v>0.14199999999999999</v>
      </c>
      <c r="W147">
        <v>3867</v>
      </c>
      <c r="X147" s="1">
        <v>0.14499999999999999</v>
      </c>
      <c r="Y147" s="1">
        <f>(O147-P147)/O147</f>
        <v>9.2568108433843305E-2</v>
      </c>
      <c r="Z147" s="2">
        <f>P147/M147</f>
        <v>2.044500734586352</v>
      </c>
      <c r="AA147" s="13">
        <f t="shared" si="10"/>
        <v>45992</v>
      </c>
      <c r="AB147" t="str">
        <f>IF(X147&gt;=0.5,"Faixa 1",IF(X147=0,"Faixa 3","Faixa 2"))</f>
        <v>Faixa 2</v>
      </c>
      <c r="AC147">
        <v>1</v>
      </c>
      <c r="AD147" t="str">
        <f t="shared" si="11"/>
        <v>2025-4T</v>
      </c>
      <c r="AE147" s="1" t="str">
        <f t="shared" si="12"/>
        <v>Até +0,5%</v>
      </c>
      <c r="AF147" t="str">
        <f t="shared" si="13"/>
        <v>Ate 32%</v>
      </c>
      <c r="AG147" t="str">
        <f t="shared" si="14"/>
        <v>Ate 39%</v>
      </c>
      <c r="AH147" s="1"/>
    </row>
    <row r="148" spans="1:34" x14ac:dyDescent="0.45">
      <c r="A148" t="s">
        <v>394</v>
      </c>
      <c r="B148" t="s">
        <v>395</v>
      </c>
      <c r="C148" s="13">
        <v>46010</v>
      </c>
      <c r="D148" t="s">
        <v>396</v>
      </c>
      <c r="E148" t="s">
        <v>30</v>
      </c>
      <c r="F148">
        <v>530</v>
      </c>
      <c r="G148">
        <v>205179</v>
      </c>
      <c r="H148" s="1">
        <v>6.6000000000000003E-2</v>
      </c>
      <c r="I148">
        <v>345</v>
      </c>
      <c r="J148">
        <v>46365</v>
      </c>
      <c r="K148" s="10">
        <v>0.40699999999999997</v>
      </c>
      <c r="L148">
        <v>12</v>
      </c>
      <c r="M148">
        <v>87481</v>
      </c>
      <c r="O148">
        <v>214814</v>
      </c>
      <c r="P148">
        <v>190830</v>
      </c>
      <c r="Q148" s="1">
        <v>0.22</v>
      </c>
      <c r="R148" s="1">
        <v>0.2</v>
      </c>
      <c r="S148" s="1">
        <v>0.441</v>
      </c>
      <c r="T148" s="1">
        <v>0.36499999999999999</v>
      </c>
      <c r="U148">
        <v>16246</v>
      </c>
      <c r="V148" s="1">
        <v>0.13600000000000001</v>
      </c>
      <c r="W148">
        <v>2707</v>
      </c>
      <c r="X148" s="1">
        <v>0.6409999999999999</v>
      </c>
      <c r="Y148" s="1">
        <f>(O148-P148)/O148</f>
        <v>0.11165007867271221</v>
      </c>
      <c r="Z148" s="2">
        <f>P148/M148</f>
        <v>2.1813879585281377</v>
      </c>
      <c r="AA148" s="13">
        <f t="shared" si="10"/>
        <v>45992</v>
      </c>
      <c r="AB148" t="str">
        <f>IF(X148&gt;=0.5,"Faixa 1",IF(X148=0,"Faixa 3","Faixa 2"))</f>
        <v>Faixa 1</v>
      </c>
      <c r="AC148">
        <v>1</v>
      </c>
      <c r="AD148" t="str">
        <f t="shared" si="11"/>
        <v>2025-4T</v>
      </c>
      <c r="AE148" s="1" t="str">
        <f t="shared" si="12"/>
        <v>Acima de +1%</v>
      </c>
      <c r="AF148" t="str">
        <f t="shared" si="13"/>
        <v>Acima de 34%</v>
      </c>
      <c r="AG148" t="str">
        <f t="shared" si="14"/>
        <v>Acima de 41%</v>
      </c>
      <c r="AH148" s="1"/>
    </row>
    <row r="149" spans="1:34" x14ac:dyDescent="0.45">
      <c r="A149" t="s">
        <v>397</v>
      </c>
      <c r="B149" t="s">
        <v>398</v>
      </c>
      <c r="C149" s="13">
        <v>46034</v>
      </c>
      <c r="D149" t="s">
        <v>204</v>
      </c>
      <c r="E149" t="s">
        <v>30</v>
      </c>
      <c r="F149">
        <v>267</v>
      </c>
      <c r="G149">
        <v>202670</v>
      </c>
      <c r="H149" s="1">
        <v>9.6999999999999989E-2</v>
      </c>
      <c r="I149">
        <v>472</v>
      </c>
      <c r="J149">
        <v>23759</v>
      </c>
      <c r="K149" s="10">
        <v>0.43099999999999999</v>
      </c>
      <c r="L149">
        <v>11</v>
      </c>
      <c r="M149">
        <v>88986</v>
      </c>
      <c r="O149">
        <v>206466</v>
      </c>
      <c r="P149">
        <v>183907</v>
      </c>
      <c r="Q149" s="1">
        <v>0.20100000000000001</v>
      </c>
      <c r="R149" s="1">
        <v>0.2</v>
      </c>
      <c r="S149" s="1">
        <v>0.39700000000000002</v>
      </c>
      <c r="T149" s="1">
        <v>0.32500000000000001</v>
      </c>
      <c r="U149">
        <v>9727</v>
      </c>
      <c r="V149" s="1">
        <v>0.17799999999999999</v>
      </c>
      <c r="W149">
        <v>2784</v>
      </c>
      <c r="X149" s="1">
        <v>0.621</v>
      </c>
      <c r="Y149" s="1">
        <f>(O149-P149)/O149</f>
        <v>0.10926254201660322</v>
      </c>
      <c r="Z149" s="2">
        <f>P149/M149</f>
        <v>2.0666958847459149</v>
      </c>
      <c r="AA149" s="13">
        <f t="shared" si="10"/>
        <v>46023</v>
      </c>
      <c r="AB149" t="str">
        <f>IF(X149&gt;=0.5,"Faixa 1",IF(X149=0,"Faixa 3","Faixa 2"))</f>
        <v>Faixa 1</v>
      </c>
      <c r="AC149">
        <v>1</v>
      </c>
      <c r="AD149" t="str">
        <f t="shared" si="11"/>
        <v>2026-1T</v>
      </c>
      <c r="AE149" s="1" t="str">
        <f t="shared" si="12"/>
        <v>Até +0,5%</v>
      </c>
      <c r="AF149" t="str">
        <f t="shared" si="13"/>
        <v>Ate 34%</v>
      </c>
      <c r="AG149" t="str">
        <f t="shared" si="14"/>
        <v>Ate 41%</v>
      </c>
      <c r="AH149" s="1"/>
    </row>
    <row r="150" spans="1:34" x14ac:dyDescent="0.45">
      <c r="A150" t="s">
        <v>400</v>
      </c>
      <c r="B150" t="s">
        <v>401</v>
      </c>
      <c r="C150" s="13">
        <v>46041</v>
      </c>
      <c r="D150" t="s">
        <v>29</v>
      </c>
      <c r="E150" t="s">
        <v>30</v>
      </c>
      <c r="F150">
        <v>512</v>
      </c>
      <c r="G150">
        <v>241418</v>
      </c>
      <c r="H150" s="1">
        <v>0.105</v>
      </c>
      <c r="I150">
        <v>1827</v>
      </c>
      <c r="J150">
        <v>48855</v>
      </c>
      <c r="K150" s="10">
        <v>0.39100000000000001</v>
      </c>
      <c r="L150">
        <v>19</v>
      </c>
      <c r="M150">
        <v>95419</v>
      </c>
      <c r="O150">
        <v>243984</v>
      </c>
      <c r="P150">
        <v>221407</v>
      </c>
      <c r="Q150" s="3">
        <v>0.2</v>
      </c>
      <c r="R150" s="3">
        <v>0.2</v>
      </c>
      <c r="S150" s="1">
        <v>0.41099999999999998</v>
      </c>
      <c r="T150" s="1">
        <v>0.34399999999999997</v>
      </c>
      <c r="U150">
        <v>16767</v>
      </c>
      <c r="V150" s="1">
        <v>0.127</v>
      </c>
      <c r="W150">
        <v>3723</v>
      </c>
      <c r="X150" s="1">
        <v>0.17799999999999999</v>
      </c>
      <c r="Y150" s="1">
        <f>(O150-P150)/O150</f>
        <v>9.2534756377467373E-2</v>
      </c>
      <c r="Z150" s="2">
        <f>P150/M150</f>
        <v>2.3203659648497679</v>
      </c>
      <c r="AA150" s="13">
        <f t="shared" si="10"/>
        <v>46023</v>
      </c>
      <c r="AB150" t="str">
        <f>IF(X150&gt;=0.5,"Faixa 1",IF(X150=0,"Faixa 3","Faixa 2"))</f>
        <v>Faixa 2</v>
      </c>
      <c r="AC150">
        <v>1</v>
      </c>
      <c r="AD150" t="str">
        <f t="shared" si="11"/>
        <v>2026-1T</v>
      </c>
      <c r="AE150" s="1" t="str">
        <f t="shared" si="12"/>
        <v>Até +0,5%</v>
      </c>
      <c r="AF150" t="str">
        <f t="shared" si="13"/>
        <v>Acima de 34%</v>
      </c>
      <c r="AG150" t="str">
        <f t="shared" si="14"/>
        <v>Acima de 41%</v>
      </c>
      <c r="AH150" s="1"/>
    </row>
    <row r="151" spans="1:34" x14ac:dyDescent="0.45">
      <c r="A151" t="s">
        <v>403</v>
      </c>
      <c r="B151" t="s">
        <v>404</v>
      </c>
      <c r="C151" s="13">
        <v>46041</v>
      </c>
      <c r="D151" t="s">
        <v>204</v>
      </c>
      <c r="E151" t="s">
        <v>30</v>
      </c>
      <c r="F151">
        <v>416</v>
      </c>
      <c r="G151">
        <v>203209</v>
      </c>
      <c r="H151" s="1">
        <v>2.3E-2</v>
      </c>
      <c r="I151">
        <v>130</v>
      </c>
      <c r="J151">
        <v>41788</v>
      </c>
      <c r="K151" s="10">
        <v>0.48599999999999999</v>
      </c>
      <c r="L151">
        <v>14</v>
      </c>
      <c r="M151">
        <v>100452</v>
      </c>
      <c r="O151">
        <v>206656</v>
      </c>
      <c r="P151">
        <v>189868</v>
      </c>
      <c r="Q151" s="1">
        <v>0.22</v>
      </c>
      <c r="R151" s="1">
        <v>0.2</v>
      </c>
      <c r="S151" s="1">
        <v>0.39200000000000002</v>
      </c>
      <c r="T151" s="1">
        <v>0.33300000000000002</v>
      </c>
      <c r="U151">
        <v>14156</v>
      </c>
      <c r="V151" s="1">
        <v>0.16600000000000001</v>
      </c>
      <c r="W151">
        <v>2682</v>
      </c>
      <c r="X151" s="1">
        <v>0.61899999999999999</v>
      </c>
      <c r="Y151" s="1">
        <f>(O151-P151)/O151</f>
        <v>8.1236450913595534E-2</v>
      </c>
      <c r="Z151" s="2">
        <f>P151/M151</f>
        <v>1.890136582646438</v>
      </c>
      <c r="AA151" s="13">
        <f t="shared" si="10"/>
        <v>46023</v>
      </c>
      <c r="AB151" t="str">
        <f>IF(X151&gt;=0.5,"Faixa 1",IF(X151=0,"Faixa 3","Faixa 2"))</f>
        <v>Faixa 1</v>
      </c>
      <c r="AC151">
        <v>1</v>
      </c>
      <c r="AD151" t="str">
        <f t="shared" si="11"/>
        <v>2026-1T</v>
      </c>
      <c r="AE151" s="1" t="str">
        <f t="shared" si="12"/>
        <v>Acima de +1%</v>
      </c>
      <c r="AF151" t="str">
        <f t="shared" si="13"/>
        <v>Ate 34%</v>
      </c>
      <c r="AG151" t="str">
        <f t="shared" si="14"/>
        <v>Ate 41%</v>
      </c>
      <c r="AH151" s="1"/>
    </row>
    <row r="152" spans="1:34" x14ac:dyDescent="0.45">
      <c r="A152" t="s">
        <v>405</v>
      </c>
      <c r="B152" t="s">
        <v>406</v>
      </c>
      <c r="C152" s="13">
        <v>46045</v>
      </c>
      <c r="D152" t="s">
        <v>60</v>
      </c>
      <c r="E152" t="s">
        <v>30</v>
      </c>
      <c r="F152">
        <v>442</v>
      </c>
      <c r="G152">
        <v>308498</v>
      </c>
      <c r="H152" s="1">
        <v>0.125</v>
      </c>
      <c r="I152">
        <v>2237</v>
      </c>
      <c r="J152">
        <v>45380</v>
      </c>
      <c r="K152" s="10">
        <v>0.35699999999999998</v>
      </c>
      <c r="L152">
        <v>18</v>
      </c>
      <c r="M152">
        <v>102669</v>
      </c>
      <c r="O152">
        <v>287527</v>
      </c>
      <c r="P152">
        <v>262893</v>
      </c>
      <c r="Q152" s="1">
        <v>0.20300000000000001</v>
      </c>
      <c r="R152" s="1">
        <v>0.2</v>
      </c>
      <c r="S152" s="1">
        <v>0.41</v>
      </c>
      <c r="T152" s="1">
        <v>0.34899999999999998</v>
      </c>
      <c r="U152">
        <v>19199</v>
      </c>
      <c r="V152" s="1">
        <v>0.151</v>
      </c>
      <c r="W152">
        <v>5641</v>
      </c>
      <c r="X152" s="1">
        <v>0</v>
      </c>
      <c r="Y152" s="1">
        <f>(O152-P152)/O152</f>
        <v>8.5675432220278444E-2</v>
      </c>
      <c r="Z152" s="2">
        <f>P152/M152</f>
        <v>2.5605879087163603</v>
      </c>
      <c r="AA152" s="13">
        <f t="shared" si="10"/>
        <v>46023</v>
      </c>
      <c r="AB152" t="str">
        <f>IF(X152&gt;=0.5,"Faixa 1",IF(X152=0,"Faixa 3","Faixa 2"))</f>
        <v>Faixa 3</v>
      </c>
      <c r="AC152">
        <v>1</v>
      </c>
      <c r="AD152" t="str">
        <f t="shared" si="11"/>
        <v>2026-1T</v>
      </c>
      <c r="AE152" s="1" t="str">
        <f t="shared" si="12"/>
        <v>Até +0,5%</v>
      </c>
      <c r="AF152" t="str">
        <f t="shared" si="13"/>
        <v>Acima de 34%</v>
      </c>
      <c r="AG152" t="str">
        <f t="shared" si="14"/>
        <v>Ate 41%</v>
      </c>
      <c r="AH152" s="1"/>
    </row>
    <row r="153" spans="1:34" x14ac:dyDescent="0.45">
      <c r="A153" t="s">
        <v>408</v>
      </c>
      <c r="B153" t="s">
        <v>409</v>
      </c>
      <c r="C153" s="13">
        <v>46052</v>
      </c>
      <c r="D153" t="s">
        <v>29</v>
      </c>
      <c r="E153" t="s">
        <v>30</v>
      </c>
      <c r="F153">
        <v>1518</v>
      </c>
      <c r="G153">
        <v>228992</v>
      </c>
      <c r="H153" s="1">
        <v>6.4000000000000001E-2</v>
      </c>
      <c r="I153">
        <v>1104</v>
      </c>
      <c r="J153" s="7">
        <v>151727</v>
      </c>
      <c r="K153" s="10">
        <v>0.45100000000000001</v>
      </c>
      <c r="L153">
        <v>19</v>
      </c>
      <c r="M153">
        <v>99952</v>
      </c>
      <c r="O153">
        <v>221461</v>
      </c>
      <c r="P153">
        <v>202928</v>
      </c>
      <c r="Q153" s="1">
        <v>0.20399999999999999</v>
      </c>
      <c r="R153" s="1">
        <v>0.2</v>
      </c>
      <c r="S153" s="1">
        <v>0.40300000000000002</v>
      </c>
      <c r="T153" s="1">
        <v>0.34200000000000003</v>
      </c>
      <c r="U153">
        <v>19027</v>
      </c>
      <c r="V153" s="1">
        <v>4.9000000000000002E-2</v>
      </c>
      <c r="W153">
        <v>3056</v>
      </c>
      <c r="X153" s="1">
        <v>0.33800000000000002</v>
      </c>
      <c r="Y153" s="1">
        <f>(O153-P153)/O153</f>
        <v>8.3685163527664017E-2</v>
      </c>
      <c r="Z153" s="2">
        <f>P153/M153</f>
        <v>2.0302545221706421</v>
      </c>
      <c r="AA153" s="13">
        <f t="shared" si="10"/>
        <v>46023</v>
      </c>
      <c r="AB153" t="str">
        <f>IF(X153&gt;=0.5,"Faixa 1",IF(X153=0,"Faixa 3","Faixa 2"))</f>
        <v>Faixa 2</v>
      </c>
      <c r="AC153">
        <v>1</v>
      </c>
      <c r="AD153" t="str">
        <f t="shared" si="11"/>
        <v>2026-1T</v>
      </c>
      <c r="AE153" s="1" t="str">
        <f t="shared" si="12"/>
        <v>Até +0,5%</v>
      </c>
      <c r="AF153" t="str">
        <f t="shared" si="13"/>
        <v>Acima de 34%</v>
      </c>
      <c r="AG153" t="str">
        <f t="shared" si="14"/>
        <v>Ate 41%</v>
      </c>
      <c r="AH153" s="1"/>
    </row>
    <row r="154" spans="1:34" x14ac:dyDescent="0.45">
      <c r="A154" t="s">
        <v>411</v>
      </c>
      <c r="B154" t="s">
        <v>412</v>
      </c>
      <c r="C154" s="13">
        <v>46059</v>
      </c>
      <c r="D154" t="s">
        <v>29</v>
      </c>
      <c r="E154" t="s">
        <v>30</v>
      </c>
      <c r="F154">
        <v>1036</v>
      </c>
      <c r="G154">
        <v>397788</v>
      </c>
      <c r="H154" s="5">
        <v>0.17199999999999999</v>
      </c>
      <c r="I154" s="7">
        <v>4452</v>
      </c>
      <c r="J154">
        <v>114783</v>
      </c>
      <c r="K154" s="11">
        <v>0.28999999999999998</v>
      </c>
      <c r="L154">
        <v>20</v>
      </c>
      <c r="M154">
        <v>110794</v>
      </c>
      <c r="O154">
        <v>382054</v>
      </c>
      <c r="P154" s="6">
        <v>362125</v>
      </c>
      <c r="Q154" s="1">
        <v>0.23300000000000001</v>
      </c>
      <c r="R154" s="1">
        <v>0.22</v>
      </c>
      <c r="S154" s="1">
        <v>0.45100000000000001</v>
      </c>
      <c r="T154" s="5">
        <v>0.41699999999999998</v>
      </c>
      <c r="U154" s="7">
        <v>30190</v>
      </c>
      <c r="V154" s="1">
        <v>7.2000000000000008E-2</v>
      </c>
      <c r="W154" s="6">
        <v>8739</v>
      </c>
      <c r="X154" s="1">
        <v>0</v>
      </c>
      <c r="Y154" s="1">
        <f>(O154-P154)/O154</f>
        <v>5.2162783271474715E-2</v>
      </c>
      <c r="Z154" s="2">
        <f>P154/M154</f>
        <v>3.2684531653338627</v>
      </c>
      <c r="AA154" s="13">
        <f t="shared" si="10"/>
        <v>46054</v>
      </c>
      <c r="AB154" t="str">
        <f>IF(X154&gt;=0.5,"Faixa 1",IF(X154=0,"Faixa 3","Faixa 2"))</f>
        <v>Faixa 3</v>
      </c>
      <c r="AC154">
        <v>1</v>
      </c>
      <c r="AD154" t="str">
        <f t="shared" si="11"/>
        <v>2026-1T</v>
      </c>
      <c r="AE154" s="1" t="str">
        <f t="shared" si="12"/>
        <v>Acima de +1%</v>
      </c>
      <c r="AF154" t="str">
        <f t="shared" si="13"/>
        <v>Acima de 34%</v>
      </c>
      <c r="AG154" t="str">
        <f t="shared" si="14"/>
        <v>Acima de 41%</v>
      </c>
      <c r="AH154" s="1"/>
    </row>
    <row r="155" spans="1:34" x14ac:dyDescent="0.45">
      <c r="A155" t="s">
        <v>414</v>
      </c>
      <c r="B155" t="s">
        <v>415</v>
      </c>
      <c r="C155" s="13">
        <v>46062</v>
      </c>
      <c r="D155" t="s">
        <v>319</v>
      </c>
      <c r="E155" t="s">
        <v>30</v>
      </c>
      <c r="F155">
        <v>800</v>
      </c>
      <c r="G155">
        <v>262398</v>
      </c>
      <c r="H155" s="1">
        <v>2.8000000000000001E-2</v>
      </c>
      <c r="I155">
        <v>581</v>
      </c>
      <c r="J155">
        <v>91896</v>
      </c>
      <c r="K155" s="10">
        <v>0.42599999999999999</v>
      </c>
      <c r="L155">
        <v>21</v>
      </c>
      <c r="M155">
        <v>114870</v>
      </c>
      <c r="O155">
        <v>269442</v>
      </c>
      <c r="P155">
        <v>238466</v>
      </c>
      <c r="Q155" s="1">
        <v>0.23400000000000001</v>
      </c>
      <c r="R155" s="1">
        <v>0.22</v>
      </c>
      <c r="S155" s="1">
        <v>0.46</v>
      </c>
      <c r="T155" s="1">
        <v>0.38</v>
      </c>
      <c r="U155">
        <v>19361</v>
      </c>
      <c r="V155" s="1">
        <v>8.5000000000000006E-2</v>
      </c>
      <c r="W155">
        <v>4845</v>
      </c>
      <c r="X155" s="1">
        <v>0</v>
      </c>
      <c r="Y155" s="1">
        <f>(O155-P155)/O155</f>
        <v>0.11496351719479517</v>
      </c>
      <c r="Z155" s="2">
        <f>P155/M155</f>
        <v>2.0759641333681551</v>
      </c>
      <c r="AA155" s="13">
        <f t="shared" si="10"/>
        <v>46054</v>
      </c>
      <c r="AB155" t="str">
        <f>IF(X155&gt;=0.5,"Faixa 1",IF(X155=0,"Faixa 3","Faixa 2"))</f>
        <v>Faixa 3</v>
      </c>
      <c r="AC155">
        <v>1</v>
      </c>
      <c r="AD155" t="str">
        <f t="shared" si="11"/>
        <v>2026-1T</v>
      </c>
      <c r="AE155" s="1" t="str">
        <f t="shared" si="12"/>
        <v>Acima de +1%</v>
      </c>
      <c r="AF155" t="str">
        <f t="shared" si="13"/>
        <v>Acima de 34%</v>
      </c>
      <c r="AG155" t="str">
        <f t="shared" si="14"/>
        <v>Acima de 41%</v>
      </c>
      <c r="AH155" s="1"/>
    </row>
    <row r="156" spans="1:34" x14ac:dyDescent="0.45">
      <c r="A156" t="s">
        <v>417</v>
      </c>
      <c r="B156" t="s">
        <v>349</v>
      </c>
      <c r="C156" s="13">
        <v>46073</v>
      </c>
      <c r="D156" t="s">
        <v>204</v>
      </c>
      <c r="E156" t="s">
        <v>30</v>
      </c>
      <c r="F156">
        <v>520</v>
      </c>
      <c r="G156">
        <v>190835</v>
      </c>
      <c r="H156" s="1">
        <v>7.2999999999999995E-2</v>
      </c>
      <c r="I156">
        <v>535</v>
      </c>
      <c r="J156">
        <v>46103</v>
      </c>
      <c r="K156" s="10">
        <v>0.42799999999999999</v>
      </c>
      <c r="L156">
        <v>14</v>
      </c>
      <c r="M156">
        <v>88659</v>
      </c>
      <c r="O156">
        <v>207128</v>
      </c>
      <c r="P156">
        <v>178860</v>
      </c>
      <c r="Q156" s="5">
        <v>0.25700000000000001</v>
      </c>
      <c r="R156" s="1">
        <v>0.22</v>
      </c>
      <c r="S156" s="1">
        <v>0.442</v>
      </c>
      <c r="T156" s="1">
        <v>0.34300000000000003</v>
      </c>
      <c r="U156">
        <v>12020</v>
      </c>
      <c r="V156" s="1">
        <v>0.111</v>
      </c>
      <c r="W156">
        <v>2516</v>
      </c>
      <c r="X156" s="1">
        <v>0.69200000000000006</v>
      </c>
      <c r="Y156" s="1">
        <f>(O156-P156)/O156</f>
        <v>0.13647599551967865</v>
      </c>
      <c r="Z156" s="2">
        <f>P156/M156</f>
        <v>2.0173924813047743</v>
      </c>
      <c r="AA156" s="13">
        <f t="shared" si="10"/>
        <v>46054</v>
      </c>
      <c r="AB156" t="str">
        <f>IF(X156&gt;=0.5,"Faixa 1",IF(X156=0,"Faixa 3","Faixa 2"))</f>
        <v>Faixa 1</v>
      </c>
      <c r="AC156">
        <v>1</v>
      </c>
      <c r="AD156" t="str">
        <f t="shared" si="11"/>
        <v>2026-1T</v>
      </c>
      <c r="AE156" s="1" t="str">
        <f t="shared" si="12"/>
        <v>Acima de +1%</v>
      </c>
      <c r="AF156" t="str">
        <f t="shared" si="13"/>
        <v>Acima de 34%</v>
      </c>
      <c r="AG156" t="str">
        <f t="shared" si="14"/>
        <v>Acima de 41%</v>
      </c>
      <c r="AH156" s="1"/>
    </row>
    <row r="157" spans="1:34" x14ac:dyDescent="0.45">
      <c r="A157" t="s">
        <v>419</v>
      </c>
      <c r="B157" t="s">
        <v>420</v>
      </c>
      <c r="C157" s="13">
        <v>46073</v>
      </c>
      <c r="D157" t="s">
        <v>34</v>
      </c>
      <c r="E157" t="s">
        <v>30</v>
      </c>
      <c r="F157">
        <v>685</v>
      </c>
      <c r="G157">
        <v>273738</v>
      </c>
      <c r="H157" s="1">
        <v>0.13200000000000001</v>
      </c>
      <c r="I157">
        <v>1302</v>
      </c>
      <c r="J157">
        <v>64100</v>
      </c>
      <c r="K157" s="10">
        <v>0.38100000000000001</v>
      </c>
      <c r="L157">
        <v>20</v>
      </c>
      <c r="M157">
        <v>93577</v>
      </c>
      <c r="O157">
        <v>245651</v>
      </c>
      <c r="P157">
        <v>217159</v>
      </c>
      <c r="Q157">
        <v>0.224</v>
      </c>
      <c r="R157">
        <v>0.24199999999999999</v>
      </c>
      <c r="S157" s="1">
        <v>0.42</v>
      </c>
      <c r="T157" s="1">
        <v>0.33200000000000002</v>
      </c>
      <c r="U157">
        <v>13327</v>
      </c>
      <c r="V157" s="1">
        <v>7.9000000000000001E-2</v>
      </c>
      <c r="W157">
        <v>4133</v>
      </c>
      <c r="X157" s="1">
        <v>0.14599999999999999</v>
      </c>
      <c r="Y157" s="1">
        <f>(O157-P157)/O157</f>
        <v>0.11598568701124766</v>
      </c>
      <c r="Z157" s="2">
        <f>P157/M157</f>
        <v>2.3206450302959061</v>
      </c>
      <c r="AA157" s="13">
        <f t="shared" si="10"/>
        <v>46054</v>
      </c>
      <c r="AB157" t="str">
        <f>IF(X157&gt;=0.5,"Faixa 1",IF(X157=0,"Faixa 3","Faixa 2"))</f>
        <v>Faixa 2</v>
      </c>
      <c r="AC157">
        <v>1</v>
      </c>
      <c r="AD157" t="str">
        <f t="shared" si="11"/>
        <v>2026-1T</v>
      </c>
      <c r="AE157" s="1" t="str">
        <f t="shared" si="12"/>
        <v>Até +0,5%</v>
      </c>
      <c r="AF157" t="str">
        <f t="shared" si="13"/>
        <v>Ate 34%</v>
      </c>
      <c r="AG157" t="str">
        <f t="shared" si="14"/>
        <v>Acima de 41%</v>
      </c>
      <c r="AH157" s="1"/>
    </row>
    <row r="158" spans="1:34" x14ac:dyDescent="0.45">
      <c r="A158" t="s">
        <v>421</v>
      </c>
      <c r="B158" t="s">
        <v>422</v>
      </c>
      <c r="C158" s="13">
        <v>46073</v>
      </c>
      <c r="D158" t="s">
        <v>60</v>
      </c>
      <c r="E158" t="s">
        <v>30</v>
      </c>
      <c r="F158">
        <v>907</v>
      </c>
      <c r="G158">
        <v>202491</v>
      </c>
      <c r="H158" s="1">
        <v>4.3999999999999997E-2</v>
      </c>
      <c r="I158">
        <v>371</v>
      </c>
      <c r="J158">
        <v>85372</v>
      </c>
      <c r="K158" s="10">
        <v>0.44299999999999989</v>
      </c>
      <c r="L158">
        <v>12</v>
      </c>
      <c r="M158">
        <v>94126</v>
      </c>
      <c r="O158">
        <v>212375</v>
      </c>
      <c r="P158">
        <v>187804</v>
      </c>
      <c r="Q158" s="5">
        <v>0.253</v>
      </c>
      <c r="R158" s="1">
        <v>0.22</v>
      </c>
      <c r="S158" s="1">
        <v>0.433</v>
      </c>
      <c r="T158" s="1">
        <v>0.35</v>
      </c>
      <c r="U158">
        <v>19167</v>
      </c>
      <c r="V158" s="1">
        <v>9.6000000000000002E-2</v>
      </c>
      <c r="W158">
        <v>2581</v>
      </c>
      <c r="X158" s="1">
        <v>0.72099999999999997</v>
      </c>
      <c r="Y158" s="1">
        <f>(O158-P158)/O158</f>
        <v>0.1156962919364332</v>
      </c>
      <c r="Z158" s="2">
        <f>P158/M158</f>
        <v>1.9952404224125109</v>
      </c>
      <c r="AA158" s="13">
        <f t="shared" si="10"/>
        <v>46054</v>
      </c>
      <c r="AB158" t="str">
        <f>IF(X158&gt;=0.5,"Faixa 1",IF(X158=0,"Faixa 3","Faixa 2"))</f>
        <v>Faixa 1</v>
      </c>
      <c r="AC158">
        <v>1</v>
      </c>
      <c r="AD158" t="str">
        <f t="shared" si="11"/>
        <v>2026-1T</v>
      </c>
      <c r="AE158" s="1" t="str">
        <f t="shared" si="12"/>
        <v>Acima de +1%</v>
      </c>
      <c r="AF158" t="str">
        <f t="shared" si="13"/>
        <v>Acima de 34%</v>
      </c>
      <c r="AG158" t="str">
        <f t="shared" si="14"/>
        <v>Acima de 41%</v>
      </c>
      <c r="AH158" s="1"/>
    </row>
    <row r="159" spans="1:34" x14ac:dyDescent="0.45">
      <c r="A159" t="s">
        <v>423</v>
      </c>
      <c r="B159" t="s">
        <v>309</v>
      </c>
      <c r="C159" s="13">
        <v>46076</v>
      </c>
      <c r="D159" t="s">
        <v>34</v>
      </c>
      <c r="E159" t="s">
        <v>35</v>
      </c>
      <c r="F159">
        <v>730</v>
      </c>
      <c r="G159">
        <v>181889</v>
      </c>
      <c r="H159" s="1">
        <v>5.2999999999999999E-2</v>
      </c>
      <c r="I159">
        <v>315</v>
      </c>
      <c r="J159">
        <v>69846</v>
      </c>
      <c r="K159" s="10">
        <v>0.48699999999999999</v>
      </c>
      <c r="L159">
        <v>19</v>
      </c>
      <c r="M159">
        <v>95680</v>
      </c>
      <c r="O159">
        <v>196590</v>
      </c>
      <c r="P159">
        <v>174174</v>
      </c>
      <c r="Q159" s="1">
        <v>0.221</v>
      </c>
      <c r="R159" s="1">
        <v>0.22</v>
      </c>
      <c r="S159" s="1">
        <v>0.39600000000000002</v>
      </c>
      <c r="T159" s="1">
        <v>0.307</v>
      </c>
      <c r="U159">
        <v>17101</v>
      </c>
      <c r="V159" s="1">
        <v>0.11799999999999999</v>
      </c>
      <c r="W159">
        <v>2392</v>
      </c>
      <c r="X159" s="1">
        <v>0.97699999999999998</v>
      </c>
      <c r="Y159" s="1">
        <f>(O159-P159)/O159</f>
        <v>0.11402411109415535</v>
      </c>
      <c r="Z159" s="2">
        <f>P159/M159</f>
        <v>1.8203804347826087</v>
      </c>
      <c r="AA159" s="13">
        <f t="shared" si="10"/>
        <v>46054</v>
      </c>
      <c r="AB159" t="str">
        <f>IF(X159&gt;=0.5,"Faixa 1",IF(X159=0,"Faixa 3","Faixa 2"))</f>
        <v>Faixa 1</v>
      </c>
      <c r="AC159">
        <v>1</v>
      </c>
      <c r="AD159" t="str">
        <f t="shared" si="11"/>
        <v>2026-1T</v>
      </c>
      <c r="AE159" s="1" t="str">
        <f t="shared" si="12"/>
        <v>Até +0,5%</v>
      </c>
      <c r="AF159" t="str">
        <f t="shared" si="13"/>
        <v>Ate 32%</v>
      </c>
      <c r="AG159" t="str">
        <f t="shared" si="14"/>
        <v>Ate 41%</v>
      </c>
      <c r="AH159" s="1"/>
    </row>
    <row r="160" spans="1:34" x14ac:dyDescent="0.45">
      <c r="A160" t="s">
        <v>425</v>
      </c>
      <c r="B160" t="s">
        <v>426</v>
      </c>
      <c r="C160" s="13">
        <v>46083</v>
      </c>
      <c r="D160" t="s">
        <v>60</v>
      </c>
      <c r="E160" t="s">
        <v>30</v>
      </c>
      <c r="F160">
        <v>523</v>
      </c>
      <c r="G160">
        <v>240671</v>
      </c>
      <c r="H160" s="1">
        <v>5.8999999999999997E-2</v>
      </c>
      <c r="I160">
        <v>1789</v>
      </c>
      <c r="J160">
        <v>54177</v>
      </c>
      <c r="K160" s="10">
        <v>0.45300000000000001</v>
      </c>
      <c r="L160">
        <v>20</v>
      </c>
      <c r="M160">
        <v>103589</v>
      </c>
      <c r="O160">
        <v>228566</v>
      </c>
      <c r="P160">
        <v>201825</v>
      </c>
      <c r="Q160" s="1">
        <v>0.22</v>
      </c>
      <c r="R160" s="1">
        <v>0.22</v>
      </c>
      <c r="S160" s="1">
        <v>0.40400000000000003</v>
      </c>
      <c r="T160" s="1">
        <v>0.312</v>
      </c>
      <c r="U160">
        <v>17145</v>
      </c>
      <c r="V160" s="1">
        <v>0.14099999999999999</v>
      </c>
      <c r="W160">
        <v>2781</v>
      </c>
      <c r="X160" s="1">
        <v>0.59</v>
      </c>
      <c r="Y160" s="1">
        <f>(O160-P160)/O160</f>
        <v>0.11699465362302355</v>
      </c>
      <c r="Z160" s="2">
        <f>P160/M160</f>
        <v>1.9483246290629315</v>
      </c>
      <c r="AA160" s="13">
        <f t="shared" si="10"/>
        <v>46082</v>
      </c>
      <c r="AB160" t="str">
        <f>IF(X160&gt;=0.5,"Faixa 1",IF(X160=0,"Faixa 3","Faixa 2"))</f>
        <v>Faixa 1</v>
      </c>
      <c r="AC160">
        <v>1</v>
      </c>
      <c r="AD160" t="str">
        <f t="shared" si="11"/>
        <v>2026-1T</v>
      </c>
      <c r="AE160" s="1" t="str">
        <f t="shared" si="12"/>
        <v>Até +0,5%</v>
      </c>
      <c r="AF160" t="str">
        <f t="shared" si="13"/>
        <v>Ate 32%</v>
      </c>
      <c r="AG160" t="str">
        <f t="shared" si="14"/>
        <v>Ate 41%</v>
      </c>
      <c r="AH160" s="1"/>
    </row>
    <row r="161" spans="1:34" x14ac:dyDescent="0.45">
      <c r="A161" t="s">
        <v>428</v>
      </c>
      <c r="B161" t="s">
        <v>429</v>
      </c>
      <c r="C161" s="13">
        <v>46083</v>
      </c>
      <c r="D161" t="s">
        <v>60</v>
      </c>
      <c r="E161" t="s">
        <v>30</v>
      </c>
      <c r="F161">
        <v>409</v>
      </c>
      <c r="G161">
        <v>321683</v>
      </c>
      <c r="H161" s="4">
        <v>7.8E-2</v>
      </c>
      <c r="I161" s="7">
        <v>4331</v>
      </c>
      <c r="J161">
        <v>46618</v>
      </c>
      <c r="K161" s="10">
        <v>0.39200000000000002</v>
      </c>
      <c r="L161">
        <v>21</v>
      </c>
      <c r="M161">
        <v>113980</v>
      </c>
      <c r="O161">
        <v>291049</v>
      </c>
      <c r="P161">
        <v>260228</v>
      </c>
      <c r="Q161" s="1">
        <v>0.22</v>
      </c>
      <c r="R161" s="1">
        <v>0.22</v>
      </c>
      <c r="S161" s="4">
        <v>0.443</v>
      </c>
      <c r="T161" s="1">
        <v>0.36599999999999999</v>
      </c>
      <c r="U161">
        <v>15965</v>
      </c>
      <c r="V161" s="1">
        <v>0.13300000000000001</v>
      </c>
      <c r="W161">
        <v>4973</v>
      </c>
      <c r="X161">
        <v>0</v>
      </c>
      <c r="Y161" s="1">
        <f>(O161-P161)/O161</f>
        <v>0.10589625801840927</v>
      </c>
      <c r="Z161" s="2">
        <f>P161/M161</f>
        <v>2.2831022986488856</v>
      </c>
      <c r="AA161" s="13">
        <f t="shared" si="10"/>
        <v>46082</v>
      </c>
      <c r="AB161" t="str">
        <f>IF(X161&gt;=0.5,"Faixa 1",IF(X161=0,"Faixa 3","Faixa 2"))</f>
        <v>Faixa 3</v>
      </c>
      <c r="AC161">
        <v>1</v>
      </c>
      <c r="AD161" t="str">
        <f t="shared" si="11"/>
        <v>2026-1T</v>
      </c>
      <c r="AE161" s="1" t="str">
        <f t="shared" si="12"/>
        <v>Até +0,5%</v>
      </c>
      <c r="AF161" t="str">
        <f t="shared" si="13"/>
        <v>Acima de 34%</v>
      </c>
      <c r="AG161" t="str">
        <f t="shared" si="14"/>
        <v>Acima de 41%</v>
      </c>
      <c r="AH161" s="1"/>
    </row>
    <row r="162" spans="1:34" x14ac:dyDescent="0.45">
      <c r="A162" t="s">
        <v>430</v>
      </c>
      <c r="B162" t="s">
        <v>431</v>
      </c>
      <c r="C162" s="13">
        <v>46083</v>
      </c>
      <c r="D162" t="s">
        <v>34</v>
      </c>
      <c r="E162" t="s">
        <v>30</v>
      </c>
      <c r="F162">
        <v>379</v>
      </c>
      <c r="G162">
        <v>266898</v>
      </c>
      <c r="H162" s="1">
        <v>6.3E-2</v>
      </c>
      <c r="I162">
        <v>425</v>
      </c>
      <c r="J162">
        <v>36597</v>
      </c>
      <c r="K162" s="10">
        <v>0.34599999999999997</v>
      </c>
      <c r="L162">
        <v>18</v>
      </c>
      <c r="M162">
        <v>96561</v>
      </c>
      <c r="O162">
        <v>279141</v>
      </c>
      <c r="P162">
        <v>245636</v>
      </c>
      <c r="Q162" s="8">
        <v>0.32900000000000001</v>
      </c>
      <c r="R162" s="1">
        <v>0.30599999999999999</v>
      </c>
      <c r="S162" s="5">
        <v>0.52600000000000002</v>
      </c>
      <c r="T162" s="5">
        <v>0.45100000000000001</v>
      </c>
      <c r="U162">
        <v>11316</v>
      </c>
      <c r="V162" s="1">
        <v>0.107</v>
      </c>
      <c r="W162">
        <v>4291</v>
      </c>
      <c r="X162" s="1">
        <v>0</v>
      </c>
      <c r="Y162" s="1">
        <f>(O162-P162)/O162</f>
        <v>0.12002894594488091</v>
      </c>
      <c r="Z162" s="2">
        <f>P162/M162</f>
        <v>2.5438427522498732</v>
      </c>
      <c r="AA162" s="13">
        <f t="shared" si="10"/>
        <v>46082</v>
      </c>
      <c r="AB162" t="str">
        <f>IF(X162&gt;=0.5,"Faixa 1",IF(X162=0,"Faixa 3","Faixa 2"))</f>
        <v>Faixa 3</v>
      </c>
      <c r="AC162">
        <v>1</v>
      </c>
      <c r="AD162" t="str">
        <f t="shared" si="11"/>
        <v>2026-1T</v>
      </c>
      <c r="AE162" s="1" t="str">
        <f t="shared" si="12"/>
        <v>Acima de +1%</v>
      </c>
      <c r="AF162" t="str">
        <f t="shared" si="13"/>
        <v>Acima de 34%</v>
      </c>
      <c r="AG162" t="str">
        <f t="shared" si="14"/>
        <v>Acima de 41%</v>
      </c>
      <c r="AH162" s="1"/>
    </row>
    <row r="163" spans="1:34" x14ac:dyDescent="0.45">
      <c r="A163" t="s">
        <v>432</v>
      </c>
      <c r="B163" t="s">
        <v>433</v>
      </c>
      <c r="C163" s="13">
        <v>46087</v>
      </c>
      <c r="D163" t="s">
        <v>204</v>
      </c>
      <c r="E163" t="s">
        <v>30</v>
      </c>
      <c r="F163">
        <v>444</v>
      </c>
      <c r="G163">
        <v>259858</v>
      </c>
      <c r="H163" s="1">
        <v>0.09</v>
      </c>
      <c r="I163">
        <v>1028</v>
      </c>
      <c r="J163">
        <v>48269</v>
      </c>
      <c r="K163" s="10">
        <v>0.46899999999999997</v>
      </c>
      <c r="L163">
        <v>18</v>
      </c>
      <c r="M163">
        <v>108715</v>
      </c>
      <c r="O163">
        <v>232001</v>
      </c>
      <c r="P163">
        <v>209727</v>
      </c>
      <c r="Q163" s="1">
        <v>0.191</v>
      </c>
      <c r="R163" s="1">
        <v>0.22</v>
      </c>
      <c r="S163" s="1">
        <v>0.36799999999999999</v>
      </c>
      <c r="T163" s="1">
        <v>0.28999999999999998</v>
      </c>
      <c r="U163">
        <v>11633</v>
      </c>
      <c r="V163" s="1">
        <v>0.113</v>
      </c>
      <c r="W163">
        <v>2636</v>
      </c>
      <c r="X163" s="1">
        <v>0.23499999999999999</v>
      </c>
      <c r="Y163" s="1">
        <f>(O163-P163)/O163</f>
        <v>9.6008206861177323E-2</v>
      </c>
      <c r="Z163" s="2">
        <f>P163/M163</f>
        <v>1.9291450121878306</v>
      </c>
      <c r="AA163" s="13">
        <f t="shared" si="10"/>
        <v>46082</v>
      </c>
      <c r="AB163" t="str">
        <f>IF(X163&gt;=0.5,"Faixa 1",IF(X163=0,"Faixa 3","Faixa 2"))</f>
        <v>Faixa 2</v>
      </c>
      <c r="AC163">
        <v>1</v>
      </c>
      <c r="AD163" t="str">
        <f t="shared" si="11"/>
        <v>2026-1T</v>
      </c>
      <c r="AE163" s="1" t="str">
        <f t="shared" si="12"/>
        <v>Até +0,5%</v>
      </c>
      <c r="AF163" t="str">
        <f t="shared" si="13"/>
        <v>Ate 32%</v>
      </c>
      <c r="AG163" t="str">
        <f t="shared" si="14"/>
        <v>Ate 39%</v>
      </c>
      <c r="AH163" s="1"/>
    </row>
    <row r="164" spans="1:34" x14ac:dyDescent="0.45">
      <c r="A164" t="s">
        <v>435</v>
      </c>
      <c r="B164" t="s">
        <v>436</v>
      </c>
      <c r="C164" s="13">
        <v>46087</v>
      </c>
      <c r="D164" t="s">
        <v>60</v>
      </c>
      <c r="E164" t="s">
        <v>30</v>
      </c>
      <c r="F164">
        <v>748</v>
      </c>
      <c r="G164">
        <v>297718</v>
      </c>
      <c r="H164" s="1">
        <v>0.11700000000000001</v>
      </c>
      <c r="I164">
        <v>1554</v>
      </c>
      <c r="J164">
        <v>79574</v>
      </c>
      <c r="K164" s="10">
        <v>0.36399999999999999</v>
      </c>
      <c r="L164">
        <v>19</v>
      </c>
      <c r="M164">
        <v>106383</v>
      </c>
      <c r="O164">
        <v>292519</v>
      </c>
      <c r="P164">
        <v>257115</v>
      </c>
      <c r="Q164" s="1">
        <v>0.221</v>
      </c>
      <c r="R164" s="1">
        <v>0.22</v>
      </c>
      <c r="S164" s="1">
        <v>0.43200000000000011</v>
      </c>
      <c r="T164" s="1">
        <v>0.34</v>
      </c>
      <c r="U164">
        <v>13374</v>
      </c>
      <c r="V164" s="1">
        <v>5.8999999999999997E-2</v>
      </c>
      <c r="W164">
        <v>5397</v>
      </c>
      <c r="X164" s="1">
        <v>0</v>
      </c>
      <c r="Y164" s="1">
        <f>(O164-P164)/O164</f>
        <v>0.12103145436706675</v>
      </c>
      <c r="Z164" s="2">
        <f>P164/M164</f>
        <v>2.4168805166238965</v>
      </c>
      <c r="AA164" s="13">
        <f t="shared" si="10"/>
        <v>46082</v>
      </c>
      <c r="AB164" t="str">
        <f>IF(X164&gt;=0.5,"Faixa 1",IF(X164=0,"Faixa 3","Faixa 2"))</f>
        <v>Faixa 3</v>
      </c>
      <c r="AC164">
        <v>1</v>
      </c>
      <c r="AD164" t="str">
        <f t="shared" si="11"/>
        <v>2026-1T</v>
      </c>
      <c r="AE164" s="1" t="str">
        <f t="shared" si="12"/>
        <v>Até +0,5%</v>
      </c>
      <c r="AF164" t="str">
        <f t="shared" si="13"/>
        <v>Ate 34%</v>
      </c>
      <c r="AG164" t="str">
        <f t="shared" si="14"/>
        <v>Acima de 41%</v>
      </c>
      <c r="AH164" s="1"/>
    </row>
    <row r="165" spans="1:34" x14ac:dyDescent="0.45">
      <c r="A165" t="s">
        <v>437</v>
      </c>
      <c r="B165" t="s">
        <v>438</v>
      </c>
      <c r="C165" s="13">
        <v>46087</v>
      </c>
      <c r="D165" t="s">
        <v>44</v>
      </c>
      <c r="E165" t="s">
        <v>30</v>
      </c>
      <c r="F165">
        <v>536</v>
      </c>
      <c r="G165">
        <v>268033</v>
      </c>
      <c r="H165" s="1">
        <v>0.106</v>
      </c>
      <c r="I165">
        <v>2114</v>
      </c>
      <c r="J165">
        <v>57247</v>
      </c>
      <c r="K165" s="10">
        <v>0.39100000000000001</v>
      </c>
      <c r="L165">
        <v>20</v>
      </c>
      <c r="M165">
        <v>106805</v>
      </c>
      <c r="O165">
        <v>272861</v>
      </c>
      <c r="P165">
        <v>239562</v>
      </c>
      <c r="Q165" s="1">
        <v>0.221</v>
      </c>
      <c r="R165" s="1">
        <v>0.22</v>
      </c>
      <c r="S165" s="1">
        <v>0.41699999999999998</v>
      </c>
      <c r="T165" s="1">
        <v>0.32800000000000001</v>
      </c>
      <c r="U165">
        <v>14126</v>
      </c>
      <c r="V165" s="1">
        <v>9.6000000000000002E-2</v>
      </c>
      <c r="W165">
        <v>4521</v>
      </c>
      <c r="X165" s="1">
        <v>0</v>
      </c>
      <c r="Y165" s="1">
        <f>(O165-P165)/O165</f>
        <v>0.12203649477206344</v>
      </c>
      <c r="Z165" s="2">
        <f>P165/M165</f>
        <v>2.2429848789850664</v>
      </c>
      <c r="AA165" s="13">
        <f t="shared" si="10"/>
        <v>46082</v>
      </c>
      <c r="AB165" t="str">
        <f>IF(X165&gt;=0.5,"Faixa 1",IF(X165=0,"Faixa 3","Faixa 2"))</f>
        <v>Faixa 3</v>
      </c>
      <c r="AC165">
        <v>1</v>
      </c>
      <c r="AD165" t="str">
        <f t="shared" si="11"/>
        <v>2026-1T</v>
      </c>
      <c r="AE165" s="1" t="str">
        <f t="shared" si="12"/>
        <v>Até +0,5%</v>
      </c>
      <c r="AF165" t="str">
        <f t="shared" si="13"/>
        <v>Ate 34%</v>
      </c>
      <c r="AG165" t="str">
        <f t="shared" si="14"/>
        <v>Acima de 41%</v>
      </c>
      <c r="AH165" s="1"/>
    </row>
    <row r="166" spans="1:34" x14ac:dyDescent="0.45">
      <c r="A166" t="s">
        <v>439</v>
      </c>
      <c r="B166" t="s">
        <v>37</v>
      </c>
      <c r="C166" s="13">
        <v>46090</v>
      </c>
      <c r="D166" t="s">
        <v>44</v>
      </c>
      <c r="E166" t="s">
        <v>30</v>
      </c>
      <c r="F166">
        <v>464</v>
      </c>
      <c r="G166">
        <v>247349</v>
      </c>
      <c r="H166" s="1">
        <v>8.5000000000000006E-2</v>
      </c>
      <c r="I166">
        <v>1146</v>
      </c>
      <c r="J166">
        <v>52250</v>
      </c>
      <c r="K166" s="10">
        <v>0.433</v>
      </c>
      <c r="L166">
        <v>19</v>
      </c>
      <c r="M166">
        <v>112608</v>
      </c>
      <c r="N166" s="1">
        <v>1E-3</v>
      </c>
      <c r="O166">
        <v>259882</v>
      </c>
      <c r="P166">
        <v>231955</v>
      </c>
      <c r="Q166" s="1">
        <v>0.2</v>
      </c>
      <c r="R166" s="1">
        <v>0.22</v>
      </c>
      <c r="S166" s="1">
        <v>0.39500000000000002</v>
      </c>
      <c r="T166" s="1">
        <v>0.31</v>
      </c>
      <c r="U166">
        <v>12100</v>
      </c>
      <c r="V166" s="1">
        <v>0.10100000000000001</v>
      </c>
      <c r="W166">
        <v>4052</v>
      </c>
      <c r="X166" s="1">
        <v>0.11700000000000001</v>
      </c>
      <c r="Y166" s="1">
        <f>(O166-P166)/O166</f>
        <v>0.10746030890942812</v>
      </c>
      <c r="Z166" s="2">
        <f>P166/M166</f>
        <v>2.05984477124183</v>
      </c>
      <c r="AA166" s="13">
        <f t="shared" si="10"/>
        <v>46082</v>
      </c>
      <c r="AB166" t="str">
        <f>IF(X166&gt;=0.5,"Faixa 1",IF(X166=0,"Faixa 3","Faixa 2"))</f>
        <v>Faixa 2</v>
      </c>
      <c r="AC166">
        <v>1</v>
      </c>
      <c r="AD166" t="str">
        <f t="shared" si="11"/>
        <v>2026-1T</v>
      </c>
      <c r="AE166" s="1" t="str">
        <f t="shared" si="12"/>
        <v>Até +0,5%</v>
      </c>
      <c r="AF166" t="str">
        <f t="shared" si="13"/>
        <v>Ate 32%</v>
      </c>
      <c r="AG166" t="str">
        <f t="shared" si="14"/>
        <v>Ate 41%</v>
      </c>
      <c r="AH166" s="1"/>
    </row>
    <row r="167" spans="1:34" x14ac:dyDescent="0.45">
      <c r="A167" t="s">
        <v>441</v>
      </c>
      <c r="B167" t="s">
        <v>442</v>
      </c>
      <c r="C167" s="13">
        <v>46090</v>
      </c>
      <c r="D167" t="s">
        <v>204</v>
      </c>
      <c r="E167" t="s">
        <v>30</v>
      </c>
      <c r="F167">
        <v>530</v>
      </c>
      <c r="G167">
        <v>223728</v>
      </c>
      <c r="H167" s="1">
        <v>0.04</v>
      </c>
      <c r="I167">
        <v>654</v>
      </c>
      <c r="J167">
        <v>55446</v>
      </c>
      <c r="K167" s="10">
        <v>0.47599999999999998</v>
      </c>
      <c r="L167">
        <v>20</v>
      </c>
      <c r="M167">
        <v>104616</v>
      </c>
      <c r="N167" s="1">
        <v>-4.0000000000000001E-3</v>
      </c>
      <c r="O167">
        <v>219741</v>
      </c>
      <c r="P167">
        <v>198645</v>
      </c>
      <c r="Q167" s="1">
        <v>0.188</v>
      </c>
      <c r="R167" s="1">
        <v>0.22</v>
      </c>
      <c r="S167" s="1">
        <v>0.38100000000000001</v>
      </c>
      <c r="T167" s="1">
        <v>0.30399999999999999</v>
      </c>
      <c r="U167">
        <v>18137</v>
      </c>
      <c r="V167" s="1">
        <v>0.156</v>
      </c>
      <c r="W167">
        <v>2506</v>
      </c>
      <c r="X167" s="1">
        <v>0.76200000000000001</v>
      </c>
      <c r="Y167" s="1">
        <f>(O167-P167)/O167</f>
        <v>9.6003931901647854E-2</v>
      </c>
      <c r="Z167" s="2">
        <f>P167/M167</f>
        <v>1.8988013305804083</v>
      </c>
      <c r="AA167" s="13">
        <f t="shared" si="10"/>
        <v>46082</v>
      </c>
      <c r="AB167" t="str">
        <f>IF(X167&gt;=0.5,"Faixa 1",IF(X167=0,"Faixa 3","Faixa 2"))</f>
        <v>Faixa 1</v>
      </c>
      <c r="AC167">
        <v>1</v>
      </c>
      <c r="AD167" t="str">
        <f t="shared" si="11"/>
        <v>2026-1T</v>
      </c>
      <c r="AE167" s="1" t="str">
        <f t="shared" si="12"/>
        <v>Até +0,5%</v>
      </c>
      <c r="AF167" t="str">
        <f t="shared" si="13"/>
        <v>Ate 32%</v>
      </c>
      <c r="AG167" t="str">
        <f t="shared" si="14"/>
        <v>Ate 39%</v>
      </c>
      <c r="AH167" s="1"/>
    </row>
    <row r="168" spans="1:34" x14ac:dyDescent="0.45">
      <c r="A168" t="s">
        <v>443</v>
      </c>
      <c r="B168" t="s">
        <v>444</v>
      </c>
      <c r="C168" s="13">
        <v>46097</v>
      </c>
      <c r="D168" t="s">
        <v>267</v>
      </c>
      <c r="E168" t="s">
        <v>30</v>
      </c>
      <c r="F168">
        <v>565</v>
      </c>
      <c r="G168">
        <v>293504</v>
      </c>
      <c r="H168" s="1">
        <v>9.9000000000000005E-2</v>
      </c>
      <c r="I168" s="7">
        <v>4569</v>
      </c>
      <c r="J168">
        <v>59970</v>
      </c>
      <c r="K168" s="10">
        <v>0.377</v>
      </c>
      <c r="L168">
        <v>20</v>
      </c>
      <c r="M168">
        <v>106141</v>
      </c>
      <c r="O168">
        <v>281421</v>
      </c>
      <c r="P168">
        <v>248278</v>
      </c>
      <c r="Q168" s="1">
        <v>0.20399999999999999</v>
      </c>
      <c r="R168" s="1">
        <v>0.22</v>
      </c>
      <c r="S168" s="1">
        <v>0.435</v>
      </c>
      <c r="T168" s="1">
        <v>0.34699999999999998</v>
      </c>
      <c r="U168" s="7">
        <v>26756</v>
      </c>
      <c r="V168" s="1">
        <v>0.153</v>
      </c>
      <c r="W168">
        <v>4837</v>
      </c>
      <c r="X168" s="1">
        <v>0</v>
      </c>
      <c r="Y168" s="1">
        <f>(O168-P168)/O168</f>
        <v>0.11777017351228231</v>
      </c>
      <c r="Z168" s="2">
        <f>P168/M168</f>
        <v>2.3391337937272119</v>
      </c>
      <c r="AA168" s="13">
        <f t="shared" si="10"/>
        <v>46082</v>
      </c>
      <c r="AB168" t="str">
        <f>IF(X168&gt;=0.5,"Faixa 1",IF(X168=0,"Faixa 3","Faixa 2"))</f>
        <v>Faixa 3</v>
      </c>
      <c r="AC168">
        <v>1</v>
      </c>
      <c r="AD168" t="str">
        <f t="shared" si="11"/>
        <v>2026-1T</v>
      </c>
      <c r="AE168" s="1" t="str">
        <f t="shared" si="12"/>
        <v>Até +0,5%</v>
      </c>
      <c r="AF168" t="str">
        <f t="shared" si="13"/>
        <v>Acima de 34%</v>
      </c>
      <c r="AG168" t="str">
        <f t="shared" si="14"/>
        <v>Acima de 41%</v>
      </c>
      <c r="AH168" s="1"/>
    </row>
    <row r="169" spans="1:34" x14ac:dyDescent="0.45">
      <c r="A169" t="s">
        <v>446</v>
      </c>
      <c r="B169" t="s">
        <v>422</v>
      </c>
      <c r="C169" s="13">
        <v>46097</v>
      </c>
      <c r="D169" t="s">
        <v>34</v>
      </c>
      <c r="E169" t="s">
        <v>30</v>
      </c>
      <c r="F169">
        <v>907</v>
      </c>
      <c r="G169">
        <v>206720</v>
      </c>
      <c r="H169" s="1">
        <v>4.3999999999999997E-2</v>
      </c>
      <c r="I169">
        <v>371</v>
      </c>
      <c r="J169">
        <v>88708</v>
      </c>
      <c r="K169" s="10">
        <v>0.46400000000000002</v>
      </c>
      <c r="L169">
        <v>12</v>
      </c>
      <c r="M169">
        <v>97804</v>
      </c>
      <c r="N169" s="1">
        <v>-4.0000000000000001E-3</v>
      </c>
      <c r="O169">
        <v>210643</v>
      </c>
      <c r="P169">
        <v>185785</v>
      </c>
      <c r="Q169" s="1">
        <v>0.23</v>
      </c>
      <c r="R169" s="1">
        <v>0.22</v>
      </c>
      <c r="S169" s="1">
        <v>0.41199999999999998</v>
      </c>
      <c r="T169" s="1">
        <v>0.32400000000000001</v>
      </c>
      <c r="U169">
        <v>19649</v>
      </c>
      <c r="V169" s="1">
        <v>0.1</v>
      </c>
      <c r="W169">
        <v>2535</v>
      </c>
      <c r="X169" s="1">
        <v>0.72099999999999997</v>
      </c>
      <c r="Y169" s="1">
        <f>(O169-P169)/O169</f>
        <v>0.11801009290600685</v>
      </c>
      <c r="Z169" s="2">
        <f>P169/M169</f>
        <v>1.8995644349924339</v>
      </c>
      <c r="AA169" s="13">
        <f t="shared" si="10"/>
        <v>46082</v>
      </c>
      <c r="AB169" t="str">
        <f>IF(X169&gt;=0.5,"Faixa 1",IF(X169=0,"Faixa 3","Faixa 2"))</f>
        <v>Faixa 1</v>
      </c>
      <c r="AC169">
        <v>1</v>
      </c>
      <c r="AD169" t="str">
        <f t="shared" si="11"/>
        <v>2026-1T</v>
      </c>
      <c r="AE169" s="1" t="str">
        <f t="shared" si="12"/>
        <v>Acima de +1%</v>
      </c>
      <c r="AF169" t="str">
        <f t="shared" si="13"/>
        <v>Ate 34%</v>
      </c>
      <c r="AG169" t="str">
        <f t="shared" si="14"/>
        <v>Acima de 41%</v>
      </c>
      <c r="AH169" s="1"/>
    </row>
    <row r="170" spans="1:34" x14ac:dyDescent="0.45">
      <c r="A170" t="s">
        <v>447</v>
      </c>
      <c r="B170" t="s">
        <v>345</v>
      </c>
      <c r="C170" s="13">
        <v>46101</v>
      </c>
      <c r="D170" t="s">
        <v>34</v>
      </c>
      <c r="E170" t="s">
        <v>30</v>
      </c>
      <c r="F170">
        <v>494</v>
      </c>
      <c r="G170">
        <v>243006</v>
      </c>
      <c r="H170" s="1">
        <v>8.6999999999999994E-2</v>
      </c>
      <c r="I170">
        <v>2451</v>
      </c>
      <c r="J170">
        <v>50111</v>
      </c>
      <c r="K170" s="10">
        <v>0.41299999999999998</v>
      </c>
      <c r="L170">
        <v>19</v>
      </c>
      <c r="M170">
        <v>101439</v>
      </c>
      <c r="N170" s="1">
        <v>1E-3</v>
      </c>
      <c r="O170">
        <v>245505</v>
      </c>
      <c r="P170">
        <v>216533</v>
      </c>
      <c r="Q170" s="1">
        <v>0.221</v>
      </c>
      <c r="R170" s="1">
        <v>0.22</v>
      </c>
      <c r="S170" s="1">
        <v>0.42</v>
      </c>
      <c r="T170" s="1">
        <v>0.33</v>
      </c>
      <c r="U170">
        <v>14440</v>
      </c>
      <c r="V170" s="1">
        <v>0.11899999999999999</v>
      </c>
      <c r="W170">
        <v>4135</v>
      </c>
      <c r="X170" s="1">
        <v>0.182</v>
      </c>
      <c r="Y170" s="1">
        <f>(O170-P170)/O170</f>
        <v>0.11800981650068226</v>
      </c>
      <c r="Z170" s="2">
        <f>P170/M170</f>
        <v>2.1346129200800483</v>
      </c>
      <c r="AA170" s="13">
        <f t="shared" si="10"/>
        <v>46082</v>
      </c>
      <c r="AB170" t="str">
        <f>IF(X170&gt;=0.5,"Faixa 1",IF(X170=0,"Faixa 3","Faixa 2"))</f>
        <v>Faixa 2</v>
      </c>
      <c r="AC170">
        <v>1</v>
      </c>
      <c r="AD170" t="str">
        <f t="shared" si="11"/>
        <v>2026-1T</v>
      </c>
      <c r="AE170" s="1" t="str">
        <f t="shared" si="12"/>
        <v>Até +0,5%</v>
      </c>
      <c r="AF170" t="str">
        <f t="shared" si="13"/>
        <v>Ate 34%</v>
      </c>
      <c r="AG170" t="str">
        <f t="shared" si="14"/>
        <v>Acima de 41%</v>
      </c>
      <c r="AH170" s="1"/>
    </row>
    <row r="171" spans="1:34" x14ac:dyDescent="0.45">
      <c r="A171" t="s">
        <v>449</v>
      </c>
      <c r="B171" t="s">
        <v>450</v>
      </c>
      <c r="C171" s="13">
        <v>45989</v>
      </c>
      <c r="D171" t="s">
        <v>34</v>
      </c>
      <c r="E171" t="s">
        <v>30</v>
      </c>
      <c r="F171">
        <v>140</v>
      </c>
      <c r="G171">
        <v>203600</v>
      </c>
      <c r="H171" s="1">
        <v>3.4000000000000002E-2</v>
      </c>
      <c r="I171">
        <v>100</v>
      </c>
      <c r="J171">
        <v>12632</v>
      </c>
      <c r="K171" s="10">
        <v>0.42399999999999999</v>
      </c>
      <c r="L171">
        <v>8</v>
      </c>
      <c r="M171">
        <v>90225</v>
      </c>
      <c r="O171">
        <v>212877</v>
      </c>
      <c r="P171">
        <v>191657</v>
      </c>
      <c r="Q171" s="1">
        <v>0.21299999999999999</v>
      </c>
      <c r="R171" s="1">
        <v>0.30099999999999999</v>
      </c>
      <c r="S171" s="1">
        <v>0.46</v>
      </c>
      <c r="T171" s="1">
        <v>0.39600000000000002</v>
      </c>
      <c r="U171">
        <v>5135</v>
      </c>
      <c r="V171">
        <v>0.182</v>
      </c>
      <c r="W171">
        <v>2907</v>
      </c>
      <c r="X171" s="1">
        <v>0.2</v>
      </c>
      <c r="Y171" s="1">
        <f>(O171-P171)/O171</f>
        <v>9.9681975976737738E-2</v>
      </c>
      <c r="Z171" s="2">
        <f>P171/M171</f>
        <v>2.1242116929897477</v>
      </c>
      <c r="AA171" s="13">
        <f t="shared" si="10"/>
        <v>45962</v>
      </c>
      <c r="AB171" t="str">
        <f>IF(X171&gt;=0.5,"Faixa 1",IF(X171=0,"Faixa 3","Faixa 2"))</f>
        <v>Faixa 2</v>
      </c>
      <c r="AC171">
        <v>1</v>
      </c>
      <c r="AD171" t="str">
        <f t="shared" si="11"/>
        <v>2025-4T</v>
      </c>
      <c r="AE171" s="1" t="str">
        <f t="shared" si="12"/>
        <v>Até +0,5%</v>
      </c>
      <c r="AF171" t="str">
        <f t="shared" si="13"/>
        <v>Acima de 34%</v>
      </c>
      <c r="AG171" t="str">
        <f t="shared" si="14"/>
        <v>Acima de 41%</v>
      </c>
      <c r="AH171" s="1"/>
    </row>
    <row r="172" spans="1:34" x14ac:dyDescent="0.45">
      <c r="AH172" s="1"/>
    </row>
    <row r="173" spans="1:34" x14ac:dyDescent="0.45">
      <c r="AH173" s="1"/>
    </row>
  </sheetData>
  <autoFilter ref="A1:AC171" xr:uid="{1B826472-A970-41A5-8917-F008B48D481A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90FE-EF35-4089-A392-5A272B63B7FB}">
  <dimension ref="B4:AJ55"/>
  <sheetViews>
    <sheetView showGridLines="0" tabSelected="1" topLeftCell="M27" zoomScale="80" zoomScaleNormal="80" workbookViewId="0">
      <selection activeCell="W42" sqref="W42:AB42"/>
    </sheetView>
  </sheetViews>
  <sheetFormatPr defaultRowHeight="14.25" x14ac:dyDescent="0.45"/>
  <cols>
    <col min="1" max="1" width="1.265625" style="17" customWidth="1"/>
    <col min="2" max="2" width="9.06640625" style="17"/>
    <col min="3" max="6" width="9.06640625" style="16"/>
    <col min="7" max="7" width="1.265625" style="17" customWidth="1"/>
    <col min="8" max="8" width="3.9296875" style="17" customWidth="1"/>
    <col min="9" max="9" width="11.796875" style="17" bestFit="1" customWidth="1"/>
    <col min="10" max="13" width="13.86328125" style="17" customWidth="1"/>
    <col min="14" max="14" width="1.265625" style="17" customWidth="1"/>
    <col min="15" max="15" width="3.9296875" style="17" customWidth="1"/>
    <col min="16" max="16" width="11.796875" style="17" bestFit="1" customWidth="1"/>
    <col min="17" max="20" width="13.86328125" style="17" customWidth="1"/>
    <col min="21" max="21" width="1.265625" style="17" customWidth="1"/>
    <col min="22" max="22" width="3.9296875" style="17" customWidth="1"/>
    <col min="23" max="23" width="11.796875" style="17" bestFit="1" customWidth="1"/>
    <col min="24" max="24" width="11.796875" style="17" customWidth="1"/>
    <col min="25" max="28" width="13.86328125" style="17" customWidth="1"/>
    <col min="29" max="29" width="1.265625" style="17" customWidth="1"/>
    <col min="30" max="30" width="3.9296875" style="17" customWidth="1"/>
    <col min="31" max="31" width="11.796875" style="17" bestFit="1" customWidth="1"/>
    <col min="32" max="36" width="12.33203125" style="17" customWidth="1"/>
    <col min="37" max="16384" width="9.06640625" style="17"/>
  </cols>
  <sheetData>
    <row r="4" spans="2:6" x14ac:dyDescent="0.45">
      <c r="B4" s="15" t="s">
        <v>467</v>
      </c>
    </row>
    <row r="5" spans="2:6" x14ac:dyDescent="0.45">
      <c r="B5" s="18" t="s">
        <v>454</v>
      </c>
      <c r="C5" s="19" t="s">
        <v>462</v>
      </c>
      <c r="D5" s="19" t="s">
        <v>463</v>
      </c>
      <c r="E5" s="19" t="s">
        <v>464</v>
      </c>
      <c r="F5" s="19" t="s">
        <v>465</v>
      </c>
    </row>
    <row r="6" spans="2:6" ht="14.25" customHeight="1" x14ac:dyDescent="0.45">
      <c r="B6" s="20" t="s">
        <v>457</v>
      </c>
      <c r="C6" s="21">
        <f>COUNTIFS(dados_filtrado!$AB:$AB,Planilha2!C$5,dados_filtrado!$AD:$AD,Planilha2!$B6)</f>
        <v>5</v>
      </c>
      <c r="D6" s="21">
        <f>COUNTIFS(dados_filtrado!$AB:$AB,Planilha2!D$5,dados_filtrado!$AD:$AD,Planilha2!$B6)</f>
        <v>7</v>
      </c>
      <c r="E6" s="21">
        <f>COUNTIFS(dados_filtrado!$AB:$AB,Planilha2!E$5,dados_filtrado!$AD:$AD,Planilha2!$B6)</f>
        <v>3</v>
      </c>
      <c r="F6" s="21">
        <f>SUM(C6:E6)</f>
        <v>15</v>
      </c>
    </row>
    <row r="7" spans="2:6" x14ac:dyDescent="0.45">
      <c r="B7" s="20" t="s">
        <v>458</v>
      </c>
      <c r="C7" s="21">
        <f>COUNTIFS(dados_filtrado!$AB:$AB,Planilha2!C$5,dados_filtrado!$AD:$AD,Planilha2!$B7)</f>
        <v>15</v>
      </c>
      <c r="D7" s="21">
        <f>COUNTIFS(dados_filtrado!$AB:$AB,Planilha2!D$5,dados_filtrado!$AD:$AD,Planilha2!$B7)</f>
        <v>27</v>
      </c>
      <c r="E7" s="21">
        <f>COUNTIFS(dados_filtrado!$AB:$AB,Planilha2!E$5,dados_filtrado!$AD:$AD,Planilha2!$B7)</f>
        <v>7</v>
      </c>
      <c r="F7" s="21">
        <f t="shared" ref="F7:F10" si="0">SUM(C7:E7)</f>
        <v>49</v>
      </c>
    </row>
    <row r="8" spans="2:6" x14ac:dyDescent="0.45">
      <c r="B8" s="20" t="s">
        <v>459</v>
      </c>
      <c r="C8" s="21">
        <f>COUNTIFS(dados_filtrado!$AB:$AB,Planilha2!C$5,dados_filtrado!$AD:$AD,Planilha2!$B8)</f>
        <v>4</v>
      </c>
      <c r="D8" s="21">
        <f>COUNTIFS(dados_filtrado!$AB:$AB,Planilha2!D$5,dados_filtrado!$AD:$AD,Planilha2!$B8)</f>
        <v>20</v>
      </c>
      <c r="E8" s="21">
        <f>COUNTIFS(dados_filtrado!$AB:$AB,Planilha2!E$5,dados_filtrado!$AD:$AD,Planilha2!$B8)</f>
        <v>10</v>
      </c>
      <c r="F8" s="21">
        <f t="shared" si="0"/>
        <v>34</v>
      </c>
    </row>
    <row r="9" spans="2:6" x14ac:dyDescent="0.45">
      <c r="B9" s="20" t="s">
        <v>460</v>
      </c>
      <c r="C9" s="21">
        <f>COUNTIFS(dados_filtrado!$AB:$AB,Planilha2!C$5,dados_filtrado!$AD:$AD,Planilha2!$B9)</f>
        <v>12</v>
      </c>
      <c r="D9" s="21">
        <f>COUNTIFS(dados_filtrado!$AB:$AB,Planilha2!D$5,dados_filtrado!$AD:$AD,Planilha2!$B9)</f>
        <v>24</v>
      </c>
      <c r="E9" s="21">
        <f>COUNTIFS(dados_filtrado!$AB:$AB,Planilha2!E$5,dados_filtrado!$AD:$AD,Planilha2!$B9)</f>
        <v>14</v>
      </c>
      <c r="F9" s="21">
        <f t="shared" si="0"/>
        <v>50</v>
      </c>
    </row>
    <row r="10" spans="2:6" x14ac:dyDescent="0.45">
      <c r="B10" s="20" t="s">
        <v>461</v>
      </c>
      <c r="C10" s="21">
        <f>COUNTIFS(dados_filtrado!$AB:$AB,Planilha2!C$5,dados_filtrado!$AD:$AD,Planilha2!$B10)</f>
        <v>8</v>
      </c>
      <c r="D10" s="21">
        <f>COUNTIFS(dados_filtrado!$AB:$AB,Planilha2!D$5,dados_filtrado!$AD:$AD,Planilha2!$B10)</f>
        <v>6</v>
      </c>
      <c r="E10" s="21">
        <f>COUNTIFS(dados_filtrado!$AB:$AB,Planilha2!E$5,dados_filtrado!$AD:$AD,Planilha2!$B10)</f>
        <v>8</v>
      </c>
      <c r="F10" s="21">
        <f t="shared" si="0"/>
        <v>22</v>
      </c>
    </row>
    <row r="12" spans="2:6" x14ac:dyDescent="0.45">
      <c r="B12" s="15" t="s">
        <v>466</v>
      </c>
    </row>
    <row r="13" spans="2:6" x14ac:dyDescent="0.45">
      <c r="B13" s="18" t="s">
        <v>454</v>
      </c>
      <c r="C13" s="19" t="s">
        <v>462</v>
      </c>
      <c r="D13" s="19" t="s">
        <v>463</v>
      </c>
      <c r="E13" s="19" t="s">
        <v>464</v>
      </c>
      <c r="F13" s="19" t="s">
        <v>465</v>
      </c>
    </row>
    <row r="14" spans="2:6" x14ac:dyDescent="0.45">
      <c r="B14" s="20" t="s">
        <v>457</v>
      </c>
      <c r="C14" s="22">
        <f>AVERAGEIFS(dados_filtrado!$Z:$Z,dados_filtrado!$AB:$AB,Planilha2!C$5,dados_filtrado!$AD:$AD,Planilha2!$B14)</f>
        <v>1.9996079963838906</v>
      </c>
      <c r="D14" s="22">
        <f>AVERAGEIFS(dados_filtrado!$Z:$Z,dados_filtrado!$AB:$AB,Planilha2!D$5,dados_filtrado!$AD:$AD,Planilha2!$B14)</f>
        <v>2.1464421183002385</v>
      </c>
      <c r="E14" s="22">
        <f>AVERAGEIFS(dados_filtrado!$Z:$Z,dados_filtrado!$AB:$AB,Planilha2!E$5,dados_filtrado!$AD:$AD,Planilha2!$B14)</f>
        <v>2.502713713864535</v>
      </c>
      <c r="F14" s="22">
        <f>AVERAGEIFS(dados_filtrado!$Z:$Z,dados_filtrado!$AD:$AD,Planilha2!$B14)</f>
        <v>2.1687517301076489</v>
      </c>
    </row>
    <row r="15" spans="2:6" x14ac:dyDescent="0.45">
      <c r="B15" s="20" t="s">
        <v>458</v>
      </c>
      <c r="C15" s="22">
        <f>AVERAGEIFS(dados_filtrado!$Z:$Z,dados_filtrado!$AB:$AB,Planilha2!C$5,dados_filtrado!$AD:$AD,Planilha2!$B15)</f>
        <v>2.004512140667972</v>
      </c>
      <c r="D15" s="22">
        <f>AVERAGEIFS(dados_filtrado!$Z:$Z,dados_filtrado!$AB:$AB,Planilha2!D$5,dados_filtrado!$AD:$AD,Planilha2!$B15)</f>
        <v>2.112196093386975</v>
      </c>
      <c r="E15" s="22">
        <f>AVERAGEIFS(dados_filtrado!$Z:$Z,dados_filtrado!$AB:$AB,Planilha2!E$5,dados_filtrado!$AD:$AD,Planilha2!$B15)</f>
        <v>2.3511834577307567</v>
      </c>
      <c r="F15" s="22">
        <f>AVERAGEIFS(dados_filtrado!$Z:$Z,dados_filtrado!$AD:$AD,Planilha2!$B15)</f>
        <v>2.113372670113943</v>
      </c>
    </row>
    <row r="16" spans="2:6" x14ac:dyDescent="0.45">
      <c r="B16" s="20" t="s">
        <v>459</v>
      </c>
      <c r="C16" s="22">
        <f>AVERAGEIFS(dados_filtrado!$Z:$Z,dados_filtrado!$AB:$AB,Planilha2!C$5,dados_filtrado!$AD:$AD,Planilha2!$B16)</f>
        <v>2.0961373364061329</v>
      </c>
      <c r="D16" s="22">
        <f>AVERAGEIFS(dados_filtrado!$Z:$Z,dados_filtrado!$AB:$AB,Planilha2!D$5,dados_filtrado!$AD:$AD,Planilha2!$B16)</f>
        <v>2.1419669241907697</v>
      </c>
      <c r="E16" s="22">
        <f>AVERAGEIFS(dados_filtrado!$Z:$Z,dados_filtrado!$AB:$AB,Planilha2!E$5,dados_filtrado!$AD:$AD,Planilha2!$B16)</f>
        <v>2.3355618890088738</v>
      </c>
      <c r="F16" s="22">
        <f>AVERAGEIFS(dados_filtrado!$Z:$Z,dados_filtrado!$AD:$AD,Planilha2!$B16)</f>
        <v>2.1935149035155499</v>
      </c>
    </row>
    <row r="17" spans="2:36" x14ac:dyDescent="0.45">
      <c r="B17" s="20" t="s">
        <v>460</v>
      </c>
      <c r="C17" s="22">
        <f>AVERAGEIFS(dados_filtrado!$Z:$Z,dados_filtrado!$AB:$AB,Planilha2!C$5,dados_filtrado!$AD:$AD,Planilha2!$B17)</f>
        <v>2.0230217543896107</v>
      </c>
      <c r="D17" s="22">
        <f>AVERAGEIFS(dados_filtrado!$Z:$Z,dados_filtrado!$AB:$AB,Planilha2!D$5,dados_filtrado!$AD:$AD,Planilha2!$B17)</f>
        <v>2.1212831462287585</v>
      </c>
      <c r="E17" s="22">
        <f>AVERAGEIFS(dados_filtrado!$Z:$Z,dados_filtrado!$AB:$AB,Planilha2!E$5,dados_filtrado!$AD:$AD,Planilha2!$B17)</f>
        <v>2.3453068279776228</v>
      </c>
      <c r="F17" s="22">
        <f>AVERAGEIFS(dados_filtrado!$Z:$Z,dados_filtrado!$AD:$AD,Planilha2!$B17)</f>
        <v>2.1604270430770445</v>
      </c>
    </row>
    <row r="18" spans="2:36" x14ac:dyDescent="0.45">
      <c r="B18" s="20" t="s">
        <v>461</v>
      </c>
      <c r="C18" s="22">
        <f>AVERAGEIFS(dados_filtrado!$Z:$Z,dados_filtrado!$AB:$AB,Planilha2!C$5,dados_filtrado!$AD:$AD,Planilha2!$B18)</f>
        <v>1.9420670250660024</v>
      </c>
      <c r="D18" s="22">
        <f>AVERAGEIFS(dados_filtrado!$Z:$Z,dados_filtrado!$AB:$AB,Planilha2!D$5,dados_filtrado!$AD:$AD,Planilha2!$B18)</f>
        <v>2.1324780368043377</v>
      </c>
      <c r="E18" s="22">
        <f>AVERAGEIFS(dados_filtrado!$Z:$Z,dados_filtrado!$AB:$AB,Planilha2!E$5,dados_filtrado!$AD:$AD,Planilha2!$B18)</f>
        <v>2.4663686809566641</v>
      </c>
      <c r="F18" s="22">
        <f>AVERAGEIFS(dados_filtrado!$Z:$Z,dados_filtrado!$AD:$AD,Planilha2!$B18)</f>
        <v>2.184652448591244</v>
      </c>
    </row>
    <row r="28" spans="2:36" ht="18" customHeight="1" x14ac:dyDescent="0.45">
      <c r="I28" s="23" t="s">
        <v>479</v>
      </c>
      <c r="J28" s="23"/>
      <c r="K28" s="23"/>
      <c r="L28" s="23"/>
      <c r="M28" s="23"/>
      <c r="P28" s="23" t="s">
        <v>480</v>
      </c>
      <c r="Q28" s="23"/>
      <c r="R28" s="23"/>
      <c r="S28" s="23"/>
      <c r="T28" s="23"/>
      <c r="W28" s="23" t="s">
        <v>479</v>
      </c>
      <c r="X28" s="23"/>
      <c r="Y28" s="23"/>
      <c r="Z28" s="23"/>
      <c r="AA28" s="23"/>
      <c r="AB28" s="23"/>
      <c r="AE28" s="23" t="s">
        <v>480</v>
      </c>
      <c r="AF28" s="23"/>
      <c r="AG28" s="23"/>
      <c r="AH28" s="23"/>
      <c r="AI28" s="23"/>
      <c r="AJ28" s="23"/>
    </row>
    <row r="29" spans="2:36" ht="18" customHeight="1" x14ac:dyDescent="0.45">
      <c r="H29" s="14" t="s">
        <v>478</v>
      </c>
      <c r="I29" s="18" t="s">
        <v>465</v>
      </c>
      <c r="J29" s="19" t="s">
        <v>476</v>
      </c>
      <c r="K29" s="19" t="s">
        <v>477</v>
      </c>
      <c r="L29" s="19" t="s">
        <v>475</v>
      </c>
      <c r="M29" s="19" t="s">
        <v>474</v>
      </c>
      <c r="O29" s="14" t="s">
        <v>478</v>
      </c>
      <c r="P29" s="18" t="s">
        <v>465</v>
      </c>
      <c r="Q29" s="19" t="s">
        <v>481</v>
      </c>
      <c r="R29" s="19" t="s">
        <v>482</v>
      </c>
      <c r="S29" s="19" t="s">
        <v>483</v>
      </c>
      <c r="T29" s="19" t="s">
        <v>474</v>
      </c>
      <c r="V29" s="14" t="s">
        <v>478</v>
      </c>
      <c r="W29" s="18" t="s">
        <v>465</v>
      </c>
      <c r="X29" s="19" t="s">
        <v>484</v>
      </c>
      <c r="Y29" s="19" t="s">
        <v>476</v>
      </c>
      <c r="Z29" s="19" t="s">
        <v>477</v>
      </c>
      <c r="AA29" s="19" t="s">
        <v>475</v>
      </c>
      <c r="AB29" s="19" t="s">
        <v>474</v>
      </c>
      <c r="AD29" s="14" t="s">
        <v>478</v>
      </c>
      <c r="AE29" s="18" t="s">
        <v>465</v>
      </c>
      <c r="AF29" s="19" t="s">
        <v>484</v>
      </c>
      <c r="AG29" s="19" t="s">
        <v>481</v>
      </c>
      <c r="AH29" s="19" t="s">
        <v>482</v>
      </c>
      <c r="AI29" s="19" t="s">
        <v>483</v>
      </c>
      <c r="AJ29" s="19" t="s">
        <v>474</v>
      </c>
    </row>
    <row r="30" spans="2:36" ht="18" customHeight="1" x14ac:dyDescent="0.45">
      <c r="H30" s="14"/>
      <c r="I30" s="20" t="s">
        <v>472</v>
      </c>
      <c r="J30" s="21">
        <f>COUNTIFS(dados_filtrado!$AF:$AF,Planilha2!J$29,dados_filtrado!$AE:$AE,Planilha2!$I30)</f>
        <v>37</v>
      </c>
      <c r="K30" s="21">
        <f>COUNTIFS(dados_filtrado!$AF:$AF,Planilha2!K$29,dados_filtrado!$AE:$AE,Planilha2!$I30)</f>
        <v>39</v>
      </c>
      <c r="L30" s="21">
        <f>COUNTIFS(dados_filtrado!$AF:$AF,Planilha2!L$29,dados_filtrado!$AE:$AE,Planilha2!$I30)</f>
        <v>26</v>
      </c>
      <c r="M30" s="21">
        <f>SUM(J30:L30)</f>
        <v>102</v>
      </c>
      <c r="O30" s="14"/>
      <c r="P30" s="20" t="s">
        <v>472</v>
      </c>
      <c r="Q30" s="21">
        <f>COUNTIFS(dados_filtrado!$AG:$AG,Planilha2!Q$29,dados_filtrado!$AE:$AE,Planilha2!$I30)</f>
        <v>46</v>
      </c>
      <c r="R30" s="21">
        <f>COUNTIFS(dados_filtrado!$AG:$AG,Planilha2!R$29,dados_filtrado!$AE:$AE,Planilha2!$I30)</f>
        <v>40</v>
      </c>
      <c r="S30" s="21">
        <f>COUNTIFS(dados_filtrado!$AG:$AG,Planilha2!S$29,dados_filtrado!$AE:$AE,Planilha2!$I30)</f>
        <v>16</v>
      </c>
      <c r="T30" s="21">
        <f>SUM(Q30:S30)</f>
        <v>102</v>
      </c>
      <c r="V30" s="14"/>
      <c r="W30" s="20" t="s">
        <v>472</v>
      </c>
      <c r="X30" s="21">
        <f>T30</f>
        <v>102</v>
      </c>
      <c r="Y30" s="24">
        <f>J30/$X30</f>
        <v>0.36274509803921567</v>
      </c>
      <c r="Z30" s="24">
        <f t="shared" ref="Z30:Z33" si="1">K30/$X30</f>
        <v>0.38235294117647056</v>
      </c>
      <c r="AA30" s="24">
        <f t="shared" ref="AA30:AA33" si="2">L30/$X30</f>
        <v>0.25490196078431371</v>
      </c>
      <c r="AB30" s="24">
        <f t="shared" ref="AB30:AB33" si="3">M30/$X30</f>
        <v>1</v>
      </c>
      <c r="AD30" s="14"/>
      <c r="AE30" s="20" t="s">
        <v>472</v>
      </c>
      <c r="AF30" s="21">
        <f>X30</f>
        <v>102</v>
      </c>
      <c r="AG30" s="24">
        <f>Q30/$AF30</f>
        <v>0.45098039215686275</v>
      </c>
      <c r="AH30" s="24">
        <f t="shared" ref="AH30:AH33" si="4">R30/$AF30</f>
        <v>0.39215686274509803</v>
      </c>
      <c r="AI30" s="24">
        <f t="shared" ref="AI30:AI33" si="5">S30/$AF30</f>
        <v>0.15686274509803921</v>
      </c>
      <c r="AJ30" s="24">
        <f t="shared" ref="AJ30:AJ33" si="6">T30/$AF30</f>
        <v>1</v>
      </c>
    </row>
    <row r="31" spans="2:36" ht="18" customHeight="1" x14ac:dyDescent="0.45">
      <c r="H31" s="14"/>
      <c r="I31" s="20" t="s">
        <v>471</v>
      </c>
      <c r="J31" s="21">
        <f>COUNTIFS(dados_filtrado!$AF:$AF,Planilha2!J$29,dados_filtrado!$AE:$AE,Planilha2!$I31)</f>
        <v>2</v>
      </c>
      <c r="K31" s="21">
        <f>COUNTIFS(dados_filtrado!$AF:$AF,Planilha2!K$29,dados_filtrado!$AE:$AE,Planilha2!$I31)</f>
        <v>5</v>
      </c>
      <c r="L31" s="21">
        <f>COUNTIFS(dados_filtrado!$AF:$AF,Planilha2!L$29,dados_filtrado!$AE:$AE,Planilha2!$I31)</f>
        <v>2</v>
      </c>
      <c r="M31" s="21">
        <f>SUM(J31:L31)</f>
        <v>9</v>
      </c>
      <c r="O31" s="14"/>
      <c r="P31" s="20" t="s">
        <v>471</v>
      </c>
      <c r="Q31" s="21">
        <f>COUNTIFS(dados_filtrado!$AG:$AG,Planilha2!Q$29,dados_filtrado!$AE:$AE,Planilha2!$I31)</f>
        <v>3</v>
      </c>
      <c r="R31" s="21">
        <f>COUNTIFS(dados_filtrado!$AG:$AG,Planilha2!R$29,dados_filtrado!$AE:$AE,Planilha2!$I31)</f>
        <v>4</v>
      </c>
      <c r="S31" s="21">
        <f>COUNTIFS(dados_filtrado!$AG:$AG,Planilha2!S$29,dados_filtrado!$AE:$AE,Planilha2!$I31)</f>
        <v>2</v>
      </c>
      <c r="T31" s="21">
        <f>SUM(Q31:S31)</f>
        <v>9</v>
      </c>
      <c r="V31" s="14"/>
      <c r="W31" s="20" t="s">
        <v>471</v>
      </c>
      <c r="X31" s="21">
        <f t="shared" ref="X31:X33" si="7">T31</f>
        <v>9</v>
      </c>
      <c r="Y31" s="24">
        <f t="shared" ref="Y31:Y33" si="8">J31/$X31</f>
        <v>0.22222222222222221</v>
      </c>
      <c r="Z31" s="24">
        <f t="shared" si="1"/>
        <v>0.55555555555555558</v>
      </c>
      <c r="AA31" s="24">
        <f t="shared" si="2"/>
        <v>0.22222222222222221</v>
      </c>
      <c r="AB31" s="24">
        <f t="shared" si="3"/>
        <v>1</v>
      </c>
      <c r="AD31" s="14"/>
      <c r="AE31" s="20" t="s">
        <v>471</v>
      </c>
      <c r="AF31" s="21">
        <f t="shared" ref="AF31:AF34" si="9">X31</f>
        <v>9</v>
      </c>
      <c r="AG31" s="24">
        <f t="shared" ref="AG31:AG33" si="10">Q31/$AF31</f>
        <v>0.33333333333333331</v>
      </c>
      <c r="AH31" s="24">
        <f t="shared" si="4"/>
        <v>0.44444444444444442</v>
      </c>
      <c r="AI31" s="24">
        <f t="shared" si="5"/>
        <v>0.22222222222222221</v>
      </c>
      <c r="AJ31" s="24">
        <f t="shared" si="6"/>
        <v>1</v>
      </c>
    </row>
    <row r="32" spans="2:36" ht="18" customHeight="1" x14ac:dyDescent="0.45">
      <c r="H32" s="14"/>
      <c r="I32" s="20" t="s">
        <v>473</v>
      </c>
      <c r="J32" s="21">
        <f>COUNTIFS(dados_filtrado!$AF:$AF,Planilha2!J$29,dados_filtrado!$AE:$AE,Planilha2!$I32)</f>
        <v>4</v>
      </c>
      <c r="K32" s="21">
        <f>COUNTIFS(dados_filtrado!$AF:$AF,Planilha2!K$29,dados_filtrado!$AE:$AE,Planilha2!$I32)</f>
        <v>13</v>
      </c>
      <c r="L32" s="21">
        <f>COUNTIFS(dados_filtrado!$AF:$AF,Planilha2!L$29,dados_filtrado!$AE:$AE,Planilha2!$I32)</f>
        <v>42</v>
      </c>
      <c r="M32" s="21">
        <f>SUM(J32:L32)</f>
        <v>59</v>
      </c>
      <c r="O32" s="14"/>
      <c r="P32" s="20" t="s">
        <v>473</v>
      </c>
      <c r="Q32" s="21">
        <f>COUNTIFS(dados_filtrado!$AG:$AG,Planilha2!Q$29,dados_filtrado!$AE:$AE,Planilha2!$I32)</f>
        <v>6</v>
      </c>
      <c r="R32" s="21">
        <f>COUNTIFS(dados_filtrado!$AG:$AG,Planilha2!R$29,dados_filtrado!$AE:$AE,Planilha2!$I32)</f>
        <v>13</v>
      </c>
      <c r="S32" s="21">
        <f>COUNTIFS(dados_filtrado!$AG:$AG,Planilha2!S$29,dados_filtrado!$AE:$AE,Planilha2!$I32)</f>
        <v>40</v>
      </c>
      <c r="T32" s="21">
        <f>SUM(Q32:S32)</f>
        <v>59</v>
      </c>
      <c r="V32" s="14"/>
      <c r="W32" s="20" t="s">
        <v>473</v>
      </c>
      <c r="X32" s="21">
        <f t="shared" si="7"/>
        <v>59</v>
      </c>
      <c r="Y32" s="24">
        <f t="shared" si="8"/>
        <v>6.7796610169491525E-2</v>
      </c>
      <c r="Z32" s="24">
        <f t="shared" si="1"/>
        <v>0.22033898305084745</v>
      </c>
      <c r="AA32" s="24">
        <f t="shared" si="2"/>
        <v>0.71186440677966101</v>
      </c>
      <c r="AB32" s="24">
        <f t="shared" si="3"/>
        <v>1</v>
      </c>
      <c r="AD32" s="14"/>
      <c r="AE32" s="20" t="s">
        <v>473</v>
      </c>
      <c r="AF32" s="21">
        <f t="shared" si="9"/>
        <v>59</v>
      </c>
      <c r="AG32" s="24">
        <f t="shared" si="10"/>
        <v>0.10169491525423729</v>
      </c>
      <c r="AH32" s="24">
        <f t="shared" si="4"/>
        <v>0.22033898305084745</v>
      </c>
      <c r="AI32" s="24">
        <f t="shared" si="5"/>
        <v>0.67796610169491522</v>
      </c>
      <c r="AJ32" s="24">
        <f t="shared" si="6"/>
        <v>1</v>
      </c>
    </row>
    <row r="33" spans="8:36" ht="18" customHeight="1" x14ac:dyDescent="0.45">
      <c r="H33" s="14"/>
      <c r="I33" s="25" t="s">
        <v>474</v>
      </c>
      <c r="J33" s="26">
        <f>SUM(J30:J32)</f>
        <v>43</v>
      </c>
      <c r="K33" s="26">
        <f>SUM(K30:K32)</f>
        <v>57</v>
      </c>
      <c r="L33" s="26">
        <f>SUM(L30:L32)</f>
        <v>70</v>
      </c>
      <c r="M33" s="26">
        <f>SUM(J33:L33)</f>
        <v>170</v>
      </c>
      <c r="O33" s="14"/>
      <c r="P33" s="25" t="s">
        <v>474</v>
      </c>
      <c r="Q33" s="26">
        <f>SUM(Q30:Q32)</f>
        <v>55</v>
      </c>
      <c r="R33" s="26">
        <f>SUM(R30:R32)</f>
        <v>57</v>
      </c>
      <c r="S33" s="26">
        <f>SUM(S30:S32)</f>
        <v>58</v>
      </c>
      <c r="T33" s="26">
        <f>SUM(Q33:S33)</f>
        <v>170</v>
      </c>
      <c r="V33" s="14"/>
      <c r="W33" s="25" t="s">
        <v>474</v>
      </c>
      <c r="X33" s="26">
        <f t="shared" si="7"/>
        <v>170</v>
      </c>
      <c r="Y33" s="27">
        <f t="shared" si="8"/>
        <v>0.25294117647058822</v>
      </c>
      <c r="Z33" s="27">
        <f t="shared" si="1"/>
        <v>0.3352941176470588</v>
      </c>
      <c r="AA33" s="27">
        <f t="shared" si="2"/>
        <v>0.41176470588235292</v>
      </c>
      <c r="AB33" s="27">
        <f t="shared" si="3"/>
        <v>1</v>
      </c>
      <c r="AD33" s="14"/>
      <c r="AE33" s="25" t="s">
        <v>474</v>
      </c>
      <c r="AF33" s="26">
        <f t="shared" si="9"/>
        <v>170</v>
      </c>
      <c r="AG33" s="27">
        <f t="shared" si="10"/>
        <v>0.3235294117647059</v>
      </c>
      <c r="AH33" s="27">
        <f t="shared" si="4"/>
        <v>0.3352941176470588</v>
      </c>
      <c r="AI33" s="27">
        <f t="shared" si="5"/>
        <v>0.3411764705882353</v>
      </c>
      <c r="AJ33" s="27">
        <f t="shared" si="6"/>
        <v>1</v>
      </c>
    </row>
    <row r="34" spans="8:36" ht="18" customHeight="1" x14ac:dyDescent="0.45">
      <c r="X34" s="28">
        <f>X33/X$33</f>
        <v>1</v>
      </c>
      <c r="AF34" s="17">
        <f t="shared" si="9"/>
        <v>1</v>
      </c>
    </row>
    <row r="35" spans="8:36" ht="18" customHeight="1" x14ac:dyDescent="0.45">
      <c r="I35" s="23" t="s">
        <v>479</v>
      </c>
      <c r="J35" s="23"/>
      <c r="K35" s="23"/>
      <c r="L35" s="23"/>
      <c r="M35" s="23"/>
      <c r="P35" s="23" t="s">
        <v>480</v>
      </c>
      <c r="Q35" s="23"/>
      <c r="R35" s="23"/>
      <c r="S35" s="23"/>
      <c r="T35" s="23"/>
      <c r="W35" s="23" t="s">
        <v>479</v>
      </c>
      <c r="X35" s="23"/>
      <c r="Y35" s="23"/>
      <c r="Z35" s="23"/>
      <c r="AA35" s="23"/>
      <c r="AB35" s="23"/>
      <c r="AE35" s="23" t="s">
        <v>480</v>
      </c>
      <c r="AF35" s="23"/>
      <c r="AG35" s="23"/>
      <c r="AH35" s="23"/>
      <c r="AI35" s="23"/>
      <c r="AJ35" s="23"/>
    </row>
    <row r="36" spans="8:36" ht="18" customHeight="1" x14ac:dyDescent="0.45">
      <c r="H36" s="14" t="s">
        <v>478</v>
      </c>
      <c r="I36" s="18" t="s">
        <v>462</v>
      </c>
      <c r="J36" s="19" t="s">
        <v>476</v>
      </c>
      <c r="K36" s="19" t="s">
        <v>477</v>
      </c>
      <c r="L36" s="19" t="s">
        <v>475</v>
      </c>
      <c r="M36" s="19" t="s">
        <v>474</v>
      </c>
      <c r="O36" s="14" t="s">
        <v>478</v>
      </c>
      <c r="P36" s="18" t="s">
        <v>462</v>
      </c>
      <c r="Q36" s="19" t="s">
        <v>481</v>
      </c>
      <c r="R36" s="19" t="s">
        <v>482</v>
      </c>
      <c r="S36" s="19" t="s">
        <v>483</v>
      </c>
      <c r="T36" s="19" t="s">
        <v>474</v>
      </c>
      <c r="V36" s="14" t="s">
        <v>478</v>
      </c>
      <c r="W36" s="18" t="s">
        <v>462</v>
      </c>
      <c r="X36" s="19" t="s">
        <v>484</v>
      </c>
      <c r="Y36" s="19" t="s">
        <v>476</v>
      </c>
      <c r="Z36" s="19" t="s">
        <v>477</v>
      </c>
      <c r="AA36" s="19" t="s">
        <v>475</v>
      </c>
      <c r="AB36" s="19" t="s">
        <v>474</v>
      </c>
      <c r="AD36" s="14" t="s">
        <v>478</v>
      </c>
      <c r="AE36" s="18" t="s">
        <v>462</v>
      </c>
      <c r="AF36" s="19" t="s">
        <v>484</v>
      </c>
      <c r="AG36" s="19" t="s">
        <v>481</v>
      </c>
      <c r="AH36" s="19" t="s">
        <v>482</v>
      </c>
      <c r="AI36" s="19" t="s">
        <v>483</v>
      </c>
      <c r="AJ36" s="19" t="s">
        <v>474</v>
      </c>
    </row>
    <row r="37" spans="8:36" ht="18" customHeight="1" x14ac:dyDescent="0.45">
      <c r="H37" s="14"/>
      <c r="I37" s="20" t="s">
        <v>472</v>
      </c>
      <c r="J37" s="21">
        <f>COUNTIFS(dados_filtrado!$AF:$AF,Planilha2!J$29,dados_filtrado!$AE:$AE,Planilha2!$I37,dados_filtrado!$AB:$AB,Planilha2!I36)</f>
        <v>11</v>
      </c>
      <c r="K37" s="21">
        <f>COUNTIFS(dados_filtrado!$AF:$AF,Planilha2!K$29,dados_filtrado!$AE:$AE,Planilha2!$I37,dados_filtrado!$AB:$AB,Planilha2!I36)</f>
        <v>7</v>
      </c>
      <c r="L37" s="21">
        <f>COUNTIFS(dados_filtrado!$AF:$AF,Planilha2!L$29,dados_filtrado!$AE:$AE,Planilha2!$I37,dados_filtrado!$AB:$AB,Planilha2!I36)</f>
        <v>1</v>
      </c>
      <c r="M37" s="21">
        <f>SUM(J37:L37)</f>
        <v>19</v>
      </c>
      <c r="O37" s="14"/>
      <c r="P37" s="20" t="s">
        <v>472</v>
      </c>
      <c r="Q37" s="21">
        <f>COUNTIFS(dados_filtrado!$AG:$AG,Planilha2!Q$29,dados_filtrado!$AE:$AE,Planilha2!$I37,dados_filtrado!$AB:$AB,Planilha2!P36)</f>
        <v>8</v>
      </c>
      <c r="R37" s="21">
        <f>COUNTIFS(dados_filtrado!$AG:$AG,Planilha2!R$29,dados_filtrado!$AE:$AE,Planilha2!$I37,dados_filtrado!$AB:$AB,Planilha2!P36)</f>
        <v>9</v>
      </c>
      <c r="S37" s="21">
        <f>COUNTIFS(dados_filtrado!$AG:$AG,Planilha2!S$29,dados_filtrado!$AE:$AE,Planilha2!$I37,dados_filtrado!$AB:$AB,Planilha2!P36)</f>
        <v>2</v>
      </c>
      <c r="T37" s="21">
        <f>SUM(Q37:S37)</f>
        <v>19</v>
      </c>
      <c r="V37" s="14"/>
      <c r="W37" s="20" t="s">
        <v>472</v>
      </c>
      <c r="X37" s="21">
        <f>T37</f>
        <v>19</v>
      </c>
      <c r="Y37" s="24">
        <f>J37/$X37</f>
        <v>0.57894736842105265</v>
      </c>
      <c r="Z37" s="24">
        <f t="shared" ref="Z37:Z40" si="11">K37/$X37</f>
        <v>0.36842105263157893</v>
      </c>
      <c r="AA37" s="24">
        <f t="shared" ref="AA37:AA40" si="12">L37/$X37</f>
        <v>5.2631578947368418E-2</v>
      </c>
      <c r="AB37" s="24">
        <f t="shared" ref="AB37:AB40" si="13">M37/$X37</f>
        <v>1</v>
      </c>
      <c r="AD37" s="14"/>
      <c r="AE37" s="20" t="s">
        <v>472</v>
      </c>
      <c r="AF37" s="21">
        <f>X37</f>
        <v>19</v>
      </c>
      <c r="AG37" s="24">
        <f>Q37/$AF37</f>
        <v>0.42105263157894735</v>
      </c>
      <c r="AH37" s="24">
        <f t="shared" ref="AH37:AH40" si="14">R37/$AF37</f>
        <v>0.47368421052631576</v>
      </c>
      <c r="AI37" s="24">
        <f t="shared" ref="AI37:AI40" si="15">S37/$AF37</f>
        <v>0.10526315789473684</v>
      </c>
      <c r="AJ37" s="24">
        <f t="shared" ref="AJ37:AJ40" si="16">T37/$AF37</f>
        <v>1</v>
      </c>
    </row>
    <row r="38" spans="8:36" ht="18" customHeight="1" x14ac:dyDescent="0.45">
      <c r="H38" s="14"/>
      <c r="I38" s="20" t="s">
        <v>471</v>
      </c>
      <c r="J38" s="21">
        <f>COUNTIFS(dados_filtrado!$AF:$AF,Planilha2!J$29,dados_filtrado!$AE:$AE,Planilha2!$I38,dados_filtrado!$AB:$AB,Planilha2!I36)</f>
        <v>1</v>
      </c>
      <c r="K38" s="21">
        <f>COUNTIFS(dados_filtrado!$AF:$AF,Planilha2!K$29,dados_filtrado!$AE:$AE,Planilha2!$I38,dados_filtrado!$AB:$AB,Planilha2!I36)</f>
        <v>2</v>
      </c>
      <c r="L38" s="21">
        <f>COUNTIFS(dados_filtrado!$AF:$AF,Planilha2!L$29,dados_filtrado!$AE:$AE,Planilha2!$I38,dados_filtrado!$AB:$AB,Planilha2!I36)</f>
        <v>0</v>
      </c>
      <c r="M38" s="21">
        <f>SUM(J38:L38)</f>
        <v>3</v>
      </c>
      <c r="O38" s="14"/>
      <c r="P38" s="20" t="s">
        <v>471</v>
      </c>
      <c r="Q38" s="21">
        <f>COUNTIFS(dados_filtrado!$AG:$AG,Planilha2!Q$29,dados_filtrado!$AE:$AE,Planilha2!$I38,dados_filtrado!$AB:$AB,Planilha2!P36)</f>
        <v>1</v>
      </c>
      <c r="R38" s="21">
        <f>COUNTIFS(dados_filtrado!$AG:$AG,Planilha2!R$29,dados_filtrado!$AE:$AE,Planilha2!$I38,dados_filtrado!$AB:$AB,Planilha2!P36)</f>
        <v>2</v>
      </c>
      <c r="S38" s="21">
        <f>COUNTIFS(dados_filtrado!$AG:$AG,Planilha2!S$29,dados_filtrado!$AE:$AE,Planilha2!$I38,dados_filtrado!$AB:$AB,Planilha2!P36)</f>
        <v>0</v>
      </c>
      <c r="T38" s="21">
        <f>SUM(Q38:S38)</f>
        <v>3</v>
      </c>
      <c r="V38" s="14"/>
      <c r="W38" s="20" t="s">
        <v>471</v>
      </c>
      <c r="X38" s="21">
        <f t="shared" ref="X38:X40" si="17">T38</f>
        <v>3</v>
      </c>
      <c r="Y38" s="24">
        <f t="shared" ref="Y38:Y40" si="18">J38/$X38</f>
        <v>0.33333333333333331</v>
      </c>
      <c r="Z38" s="24">
        <f t="shared" si="11"/>
        <v>0.66666666666666663</v>
      </c>
      <c r="AA38" s="24">
        <f t="shared" si="12"/>
        <v>0</v>
      </c>
      <c r="AB38" s="24">
        <f t="shared" si="13"/>
        <v>1</v>
      </c>
      <c r="AD38" s="14"/>
      <c r="AE38" s="20" t="s">
        <v>471</v>
      </c>
      <c r="AF38" s="21">
        <f t="shared" ref="AF38:AF40" si="19">X38</f>
        <v>3</v>
      </c>
      <c r="AG38" s="24">
        <f t="shared" ref="AG38:AG40" si="20">Q38/$AF38</f>
        <v>0.33333333333333331</v>
      </c>
      <c r="AH38" s="24">
        <f t="shared" si="14"/>
        <v>0.66666666666666663</v>
      </c>
      <c r="AI38" s="24">
        <f t="shared" si="15"/>
        <v>0</v>
      </c>
      <c r="AJ38" s="24">
        <f t="shared" si="16"/>
        <v>1</v>
      </c>
    </row>
    <row r="39" spans="8:36" ht="18" customHeight="1" x14ac:dyDescent="0.45">
      <c r="H39" s="14"/>
      <c r="I39" s="20" t="s">
        <v>473</v>
      </c>
      <c r="J39" s="21">
        <f>COUNTIFS(dados_filtrado!$AF:$AF,Planilha2!J$29,dados_filtrado!$AE:$AE,Planilha2!$I39,dados_filtrado!$AB:$AB,Planilha2!I36)</f>
        <v>2</v>
      </c>
      <c r="K39" s="21">
        <f>COUNTIFS(dados_filtrado!$AF:$AF,Planilha2!K$29,dados_filtrado!$AE:$AE,Planilha2!$I39,dados_filtrado!$AB:$AB,Planilha2!I36)</f>
        <v>6</v>
      </c>
      <c r="L39" s="21">
        <f>COUNTIFS(dados_filtrado!$AF:$AF,Planilha2!L$29,dados_filtrado!$AE:$AE,Planilha2!$I39,dados_filtrado!$AB:$AB,Planilha2!I36)</f>
        <v>14</v>
      </c>
      <c r="M39" s="21">
        <f>SUM(J39:L39)</f>
        <v>22</v>
      </c>
      <c r="O39" s="14"/>
      <c r="P39" s="20" t="s">
        <v>473</v>
      </c>
      <c r="Q39" s="21">
        <f>COUNTIFS(dados_filtrado!$AG:$AG,Planilha2!Q$29,dados_filtrado!$AE:$AE,Planilha2!$I39,dados_filtrado!$AB:$AB,Planilha2!P36)</f>
        <v>3</v>
      </c>
      <c r="R39" s="21">
        <f>COUNTIFS(dados_filtrado!$AG:$AG,Planilha2!R$29,dados_filtrado!$AE:$AE,Planilha2!$I39,dados_filtrado!$AB:$AB,Planilha2!P36)</f>
        <v>4</v>
      </c>
      <c r="S39" s="21">
        <f>COUNTIFS(dados_filtrado!$AG:$AG,Planilha2!S$29,dados_filtrado!$AE:$AE,Planilha2!$I39,dados_filtrado!$AB:$AB,Planilha2!P36)</f>
        <v>15</v>
      </c>
      <c r="T39" s="21">
        <f>SUM(Q39:S39)</f>
        <v>22</v>
      </c>
      <c r="V39" s="14"/>
      <c r="W39" s="20" t="s">
        <v>473</v>
      </c>
      <c r="X39" s="21">
        <f t="shared" si="17"/>
        <v>22</v>
      </c>
      <c r="Y39" s="24">
        <f t="shared" si="18"/>
        <v>9.0909090909090912E-2</v>
      </c>
      <c r="Z39" s="24">
        <f t="shared" si="11"/>
        <v>0.27272727272727271</v>
      </c>
      <c r="AA39" s="24">
        <f t="shared" si="12"/>
        <v>0.63636363636363635</v>
      </c>
      <c r="AB39" s="24">
        <f t="shared" si="13"/>
        <v>1</v>
      </c>
      <c r="AD39" s="14"/>
      <c r="AE39" s="20" t="s">
        <v>473</v>
      </c>
      <c r="AF39" s="21">
        <f t="shared" si="19"/>
        <v>22</v>
      </c>
      <c r="AG39" s="24">
        <f t="shared" si="20"/>
        <v>0.13636363636363635</v>
      </c>
      <c r="AH39" s="24">
        <f t="shared" si="14"/>
        <v>0.18181818181818182</v>
      </c>
      <c r="AI39" s="24">
        <f t="shared" si="15"/>
        <v>0.68181818181818177</v>
      </c>
      <c r="AJ39" s="24">
        <f t="shared" si="16"/>
        <v>1</v>
      </c>
    </row>
    <row r="40" spans="8:36" ht="18" customHeight="1" x14ac:dyDescent="0.45">
      <c r="H40" s="14"/>
      <c r="I40" s="25" t="s">
        <v>474</v>
      </c>
      <c r="J40" s="26">
        <f>SUM(J37:J39)</f>
        <v>14</v>
      </c>
      <c r="K40" s="26">
        <f>SUM(K37:K39)</f>
        <v>15</v>
      </c>
      <c r="L40" s="26">
        <f>SUM(L37:L39)</f>
        <v>15</v>
      </c>
      <c r="M40" s="26">
        <f>SUM(J40:L40)</f>
        <v>44</v>
      </c>
      <c r="O40" s="14"/>
      <c r="P40" s="25" t="s">
        <v>474</v>
      </c>
      <c r="Q40" s="26">
        <f>SUM(Q37:Q39)</f>
        <v>12</v>
      </c>
      <c r="R40" s="26">
        <f>SUM(R37:R39)</f>
        <v>15</v>
      </c>
      <c r="S40" s="26">
        <f>SUM(S37:S39)</f>
        <v>17</v>
      </c>
      <c r="T40" s="26">
        <f>SUM(Q40:S40)</f>
        <v>44</v>
      </c>
      <c r="V40" s="14"/>
      <c r="W40" s="25" t="s">
        <v>474</v>
      </c>
      <c r="X40" s="26">
        <f t="shared" si="17"/>
        <v>44</v>
      </c>
      <c r="Y40" s="27">
        <f t="shared" si="18"/>
        <v>0.31818181818181818</v>
      </c>
      <c r="Z40" s="27">
        <f t="shared" si="11"/>
        <v>0.34090909090909088</v>
      </c>
      <c r="AA40" s="27">
        <f t="shared" si="12"/>
        <v>0.34090909090909088</v>
      </c>
      <c r="AB40" s="27">
        <f t="shared" si="13"/>
        <v>1</v>
      </c>
      <c r="AD40" s="14"/>
      <c r="AE40" s="25" t="s">
        <v>474</v>
      </c>
      <c r="AF40" s="26">
        <f t="shared" si="19"/>
        <v>44</v>
      </c>
      <c r="AG40" s="27">
        <f t="shared" si="20"/>
        <v>0.27272727272727271</v>
      </c>
      <c r="AH40" s="27">
        <f t="shared" si="14"/>
        <v>0.34090909090909088</v>
      </c>
      <c r="AI40" s="27">
        <f t="shared" si="15"/>
        <v>0.38636363636363635</v>
      </c>
      <c r="AJ40" s="27">
        <f t="shared" si="16"/>
        <v>1</v>
      </c>
    </row>
    <row r="41" spans="8:36" ht="18" customHeight="1" x14ac:dyDescent="0.45">
      <c r="X41" s="28">
        <f>X40/X$33</f>
        <v>0.25882352941176473</v>
      </c>
    </row>
    <row r="42" spans="8:36" ht="18" customHeight="1" x14ac:dyDescent="0.45">
      <c r="I42" s="23" t="s">
        <v>479</v>
      </c>
      <c r="J42" s="23"/>
      <c r="K42" s="23"/>
      <c r="L42" s="23"/>
      <c r="M42" s="23"/>
      <c r="P42" s="23" t="s">
        <v>480</v>
      </c>
      <c r="Q42" s="23"/>
      <c r="R42" s="23"/>
      <c r="S42" s="23"/>
      <c r="T42" s="23"/>
      <c r="W42" s="23" t="s">
        <v>479</v>
      </c>
      <c r="X42" s="23"/>
      <c r="Y42" s="23"/>
      <c r="Z42" s="23"/>
      <c r="AA42" s="23"/>
      <c r="AB42" s="23"/>
      <c r="AE42" s="23" t="s">
        <v>480</v>
      </c>
      <c r="AF42" s="23"/>
      <c r="AG42" s="23"/>
      <c r="AH42" s="23"/>
      <c r="AI42" s="23"/>
      <c r="AJ42" s="23"/>
    </row>
    <row r="43" spans="8:36" ht="18" customHeight="1" x14ac:dyDescent="0.45">
      <c r="H43" s="14" t="s">
        <v>478</v>
      </c>
      <c r="I43" s="18" t="s">
        <v>463</v>
      </c>
      <c r="J43" s="19" t="s">
        <v>476</v>
      </c>
      <c r="K43" s="19" t="s">
        <v>477</v>
      </c>
      <c r="L43" s="19" t="s">
        <v>475</v>
      </c>
      <c r="M43" s="19" t="s">
        <v>474</v>
      </c>
      <c r="O43" s="14" t="s">
        <v>478</v>
      </c>
      <c r="P43" s="18" t="s">
        <v>463</v>
      </c>
      <c r="Q43" s="19" t="s">
        <v>481</v>
      </c>
      <c r="R43" s="19" t="s">
        <v>482</v>
      </c>
      <c r="S43" s="19" t="s">
        <v>483</v>
      </c>
      <c r="T43" s="19" t="s">
        <v>474</v>
      </c>
      <c r="V43" s="14" t="s">
        <v>478</v>
      </c>
      <c r="W43" s="18" t="s">
        <v>463</v>
      </c>
      <c r="X43" s="19" t="s">
        <v>484</v>
      </c>
      <c r="Y43" s="19" t="s">
        <v>476</v>
      </c>
      <c r="Z43" s="19" t="s">
        <v>477</v>
      </c>
      <c r="AA43" s="19" t="s">
        <v>475</v>
      </c>
      <c r="AB43" s="19" t="s">
        <v>474</v>
      </c>
      <c r="AD43" s="14" t="s">
        <v>478</v>
      </c>
      <c r="AE43" s="18" t="s">
        <v>463</v>
      </c>
      <c r="AF43" s="19" t="s">
        <v>484</v>
      </c>
      <c r="AG43" s="19" t="s">
        <v>481</v>
      </c>
      <c r="AH43" s="19" t="s">
        <v>482</v>
      </c>
      <c r="AI43" s="19" t="s">
        <v>483</v>
      </c>
      <c r="AJ43" s="19" t="s">
        <v>474</v>
      </c>
    </row>
    <row r="44" spans="8:36" ht="18" customHeight="1" x14ac:dyDescent="0.45">
      <c r="H44" s="14"/>
      <c r="I44" s="20" t="s">
        <v>472</v>
      </c>
      <c r="J44" s="21">
        <f>COUNTIFS(dados_filtrado!$AF:$AF,Planilha2!J$29,dados_filtrado!$AE:$AE,Planilha2!$I44,dados_filtrado!$AB:$AB,Planilha2!I43)</f>
        <v>23</v>
      </c>
      <c r="K44" s="21">
        <f>COUNTIFS(dados_filtrado!$AF:$AF,Planilha2!K$29,dados_filtrado!$AE:$AE,Planilha2!$I44,dados_filtrado!$AB:$AB,Planilha2!I43)</f>
        <v>20</v>
      </c>
      <c r="L44" s="21">
        <f>COUNTIFS(dados_filtrado!$AF:$AF,Planilha2!L$29,dados_filtrado!$AE:$AE,Planilha2!$I44,dados_filtrado!$AB:$AB,Planilha2!I43)</f>
        <v>14</v>
      </c>
      <c r="M44" s="21">
        <f>SUM(J44:L44)</f>
        <v>57</v>
      </c>
      <c r="O44" s="14"/>
      <c r="P44" s="20" t="s">
        <v>472</v>
      </c>
      <c r="Q44" s="21">
        <f>COUNTIFS(dados_filtrado!$AG:$AG,Planilha2!Q$29,dados_filtrado!$AE:$AE,Planilha2!$I44,dados_filtrado!$AB:$AB,Planilha2!P43)</f>
        <v>29</v>
      </c>
      <c r="R44" s="21">
        <f>COUNTIFS(dados_filtrado!$AG:$AG,Planilha2!R$29,dados_filtrado!$AE:$AE,Planilha2!$I44,dados_filtrado!$AB:$AB,Planilha2!P43)</f>
        <v>19</v>
      </c>
      <c r="S44" s="21">
        <f>COUNTIFS(dados_filtrado!$AG:$AG,Planilha2!S$29,dados_filtrado!$AE:$AE,Planilha2!$I44,dados_filtrado!$AB:$AB,Planilha2!P43)</f>
        <v>9</v>
      </c>
      <c r="T44" s="21">
        <f>SUM(Q44:S44)</f>
        <v>57</v>
      </c>
      <c r="V44" s="14"/>
      <c r="W44" s="20" t="s">
        <v>472</v>
      </c>
      <c r="X44" s="21">
        <f>T44</f>
        <v>57</v>
      </c>
      <c r="Y44" s="24">
        <f>J44/$X44</f>
        <v>0.40350877192982454</v>
      </c>
      <c r="Z44" s="24">
        <f t="shared" ref="Z44:Z47" si="21">K44/$X44</f>
        <v>0.35087719298245612</v>
      </c>
      <c r="AA44" s="24">
        <f t="shared" ref="AA44:AA47" si="22">L44/$X44</f>
        <v>0.24561403508771928</v>
      </c>
      <c r="AB44" s="24">
        <f t="shared" ref="AB44:AB47" si="23">M44/$X44</f>
        <v>1</v>
      </c>
      <c r="AD44" s="14"/>
      <c r="AE44" s="20" t="s">
        <v>472</v>
      </c>
      <c r="AF44" s="21">
        <f>X44</f>
        <v>57</v>
      </c>
      <c r="AG44" s="24">
        <f>Q44/$AF44</f>
        <v>0.50877192982456143</v>
      </c>
      <c r="AH44" s="24">
        <f t="shared" ref="AH44:AH47" si="24">R44/$AF44</f>
        <v>0.33333333333333331</v>
      </c>
      <c r="AI44" s="24">
        <f t="shared" ref="AI44:AI47" si="25">S44/$AF44</f>
        <v>0.15789473684210525</v>
      </c>
      <c r="AJ44" s="24">
        <f t="shared" ref="AJ44:AJ47" si="26">T44/$AF44</f>
        <v>1</v>
      </c>
    </row>
    <row r="45" spans="8:36" ht="18" customHeight="1" x14ac:dyDescent="0.45">
      <c r="H45" s="14"/>
      <c r="I45" s="20" t="s">
        <v>471</v>
      </c>
      <c r="J45" s="21">
        <f>COUNTIFS(dados_filtrado!$AF:$AF,Planilha2!J$29,dados_filtrado!$AE:$AE,Planilha2!$I45,dados_filtrado!$AB:$AB,Planilha2!I43)</f>
        <v>1</v>
      </c>
      <c r="K45" s="21">
        <f>COUNTIFS(dados_filtrado!$AF:$AF,Planilha2!K$29,dados_filtrado!$AE:$AE,Planilha2!$I45,dados_filtrado!$AB:$AB,Planilha2!I43)</f>
        <v>1</v>
      </c>
      <c r="L45" s="21">
        <f>COUNTIFS(dados_filtrado!$AF:$AF,Planilha2!L$29,dados_filtrado!$AE:$AE,Planilha2!$I45,dados_filtrado!$AB:$AB,Planilha2!I43)</f>
        <v>0</v>
      </c>
      <c r="M45" s="21">
        <f>SUM(J45:L45)</f>
        <v>2</v>
      </c>
      <c r="O45" s="14"/>
      <c r="P45" s="20" t="s">
        <v>471</v>
      </c>
      <c r="Q45" s="21">
        <f>COUNTIFS(dados_filtrado!$AG:$AG,Planilha2!Q$29,dados_filtrado!$AE:$AE,Planilha2!$I45,dados_filtrado!$AB:$AB,Planilha2!P43)</f>
        <v>1</v>
      </c>
      <c r="R45" s="21">
        <f>COUNTIFS(dados_filtrado!$AG:$AG,Planilha2!R$29,dados_filtrado!$AE:$AE,Planilha2!$I45,dados_filtrado!$AB:$AB,Planilha2!P43)</f>
        <v>1</v>
      </c>
      <c r="S45" s="21">
        <f>COUNTIFS(dados_filtrado!$AG:$AG,Planilha2!S$29,dados_filtrado!$AE:$AE,Planilha2!$I45,dados_filtrado!$AB:$AB,Planilha2!P43)</f>
        <v>0</v>
      </c>
      <c r="T45" s="21">
        <f>SUM(Q45:S45)</f>
        <v>2</v>
      </c>
      <c r="V45" s="14"/>
      <c r="W45" s="20" t="s">
        <v>471</v>
      </c>
      <c r="X45" s="21">
        <f t="shared" ref="X45:X47" si="27">T45</f>
        <v>2</v>
      </c>
      <c r="Y45" s="24">
        <f t="shared" ref="Y45:Y47" si="28">J45/$X45</f>
        <v>0.5</v>
      </c>
      <c r="Z45" s="24">
        <f t="shared" si="21"/>
        <v>0.5</v>
      </c>
      <c r="AA45" s="24">
        <f t="shared" si="22"/>
        <v>0</v>
      </c>
      <c r="AB45" s="24">
        <f t="shared" si="23"/>
        <v>1</v>
      </c>
      <c r="AD45" s="14"/>
      <c r="AE45" s="20" t="s">
        <v>471</v>
      </c>
      <c r="AF45" s="21">
        <f t="shared" ref="AF45:AF47" si="29">X45</f>
        <v>2</v>
      </c>
      <c r="AG45" s="24">
        <f t="shared" ref="AG45:AG47" si="30">Q45/$AF45</f>
        <v>0.5</v>
      </c>
      <c r="AH45" s="24">
        <f t="shared" si="24"/>
        <v>0.5</v>
      </c>
      <c r="AI45" s="24">
        <f t="shared" si="25"/>
        <v>0</v>
      </c>
      <c r="AJ45" s="24">
        <f t="shared" si="26"/>
        <v>1</v>
      </c>
    </row>
    <row r="46" spans="8:36" ht="18" customHeight="1" x14ac:dyDescent="0.45">
      <c r="H46" s="14"/>
      <c r="I46" s="20" t="s">
        <v>473</v>
      </c>
      <c r="J46" s="21">
        <f>COUNTIFS(dados_filtrado!$AF:$AF,Planilha2!J$29,dados_filtrado!$AE:$AE,Planilha2!$I46,dados_filtrado!$AB:$AB,Planilha2!I43)</f>
        <v>1</v>
      </c>
      <c r="K46" s="21">
        <f>COUNTIFS(dados_filtrado!$AF:$AF,Planilha2!K$29,dados_filtrado!$AE:$AE,Planilha2!$I46,dados_filtrado!$AB:$AB,Planilha2!I43)</f>
        <v>7</v>
      </c>
      <c r="L46" s="21">
        <f>COUNTIFS(dados_filtrado!$AF:$AF,Planilha2!L$29,dados_filtrado!$AE:$AE,Planilha2!$I46,dados_filtrado!$AB:$AB,Planilha2!I43)</f>
        <v>17</v>
      </c>
      <c r="M46" s="21">
        <f>SUM(J46:L46)</f>
        <v>25</v>
      </c>
      <c r="O46" s="14"/>
      <c r="P46" s="20" t="s">
        <v>473</v>
      </c>
      <c r="Q46" s="21">
        <f>COUNTIFS(dados_filtrado!$AG:$AG,Planilha2!Q$29,dados_filtrado!$AE:$AE,Planilha2!$I46,dados_filtrado!$AB:$AB,Planilha2!P43)</f>
        <v>2</v>
      </c>
      <c r="R46" s="21">
        <f>COUNTIFS(dados_filtrado!$AG:$AG,Planilha2!R$29,dados_filtrado!$AE:$AE,Planilha2!$I46,dados_filtrado!$AB:$AB,Planilha2!P43)</f>
        <v>7</v>
      </c>
      <c r="S46" s="21">
        <f>COUNTIFS(dados_filtrado!$AG:$AG,Planilha2!S$29,dados_filtrado!$AE:$AE,Planilha2!$I46,dados_filtrado!$AB:$AB,Planilha2!P43)</f>
        <v>16</v>
      </c>
      <c r="T46" s="21">
        <f>SUM(Q46:S46)</f>
        <v>25</v>
      </c>
      <c r="V46" s="14"/>
      <c r="W46" s="20" t="s">
        <v>473</v>
      </c>
      <c r="X46" s="21">
        <f t="shared" si="27"/>
        <v>25</v>
      </c>
      <c r="Y46" s="24">
        <f t="shared" si="28"/>
        <v>0.04</v>
      </c>
      <c r="Z46" s="24">
        <f t="shared" si="21"/>
        <v>0.28000000000000003</v>
      </c>
      <c r="AA46" s="24">
        <f t="shared" si="22"/>
        <v>0.68</v>
      </c>
      <c r="AB46" s="24">
        <f t="shared" si="23"/>
        <v>1</v>
      </c>
      <c r="AD46" s="14"/>
      <c r="AE46" s="20" t="s">
        <v>473</v>
      </c>
      <c r="AF46" s="21">
        <f t="shared" si="29"/>
        <v>25</v>
      </c>
      <c r="AG46" s="24">
        <f t="shared" si="30"/>
        <v>0.08</v>
      </c>
      <c r="AH46" s="24">
        <f t="shared" si="24"/>
        <v>0.28000000000000003</v>
      </c>
      <c r="AI46" s="24">
        <f t="shared" si="25"/>
        <v>0.64</v>
      </c>
      <c r="AJ46" s="24">
        <f t="shared" si="26"/>
        <v>1</v>
      </c>
    </row>
    <row r="47" spans="8:36" ht="18" customHeight="1" x14ac:dyDescent="0.45">
      <c r="H47" s="14"/>
      <c r="I47" s="25" t="s">
        <v>474</v>
      </c>
      <c r="J47" s="26">
        <f>SUM(J44:J46)</f>
        <v>25</v>
      </c>
      <c r="K47" s="26">
        <f>SUM(K44:K46)</f>
        <v>28</v>
      </c>
      <c r="L47" s="26">
        <f>SUM(L44:L46)</f>
        <v>31</v>
      </c>
      <c r="M47" s="26">
        <f>SUM(J47:L47)</f>
        <v>84</v>
      </c>
      <c r="O47" s="14"/>
      <c r="P47" s="25" t="s">
        <v>474</v>
      </c>
      <c r="Q47" s="26">
        <f>SUM(Q44:Q46)</f>
        <v>32</v>
      </c>
      <c r="R47" s="26">
        <f>SUM(R44:R46)</f>
        <v>27</v>
      </c>
      <c r="S47" s="26">
        <f>SUM(S44:S46)</f>
        <v>25</v>
      </c>
      <c r="T47" s="26">
        <f>SUM(Q47:S47)</f>
        <v>84</v>
      </c>
      <c r="V47" s="14"/>
      <c r="W47" s="25" t="s">
        <v>474</v>
      </c>
      <c r="X47" s="26">
        <f t="shared" si="27"/>
        <v>84</v>
      </c>
      <c r="Y47" s="27">
        <f t="shared" si="28"/>
        <v>0.29761904761904762</v>
      </c>
      <c r="Z47" s="27">
        <f t="shared" si="21"/>
        <v>0.33333333333333331</v>
      </c>
      <c r="AA47" s="27">
        <f t="shared" si="22"/>
        <v>0.36904761904761907</v>
      </c>
      <c r="AB47" s="27">
        <f t="shared" si="23"/>
        <v>1</v>
      </c>
      <c r="AD47" s="14"/>
      <c r="AE47" s="25" t="s">
        <v>474</v>
      </c>
      <c r="AF47" s="26">
        <f t="shared" si="29"/>
        <v>84</v>
      </c>
      <c r="AG47" s="27">
        <f t="shared" si="30"/>
        <v>0.38095238095238093</v>
      </c>
      <c r="AH47" s="27">
        <f t="shared" si="24"/>
        <v>0.32142857142857145</v>
      </c>
      <c r="AI47" s="27">
        <f t="shared" si="25"/>
        <v>0.29761904761904762</v>
      </c>
      <c r="AJ47" s="27">
        <f t="shared" si="26"/>
        <v>1</v>
      </c>
    </row>
    <row r="48" spans="8:36" ht="18" customHeight="1" x14ac:dyDescent="0.45">
      <c r="X48" s="28">
        <f>X47/X$33</f>
        <v>0.49411764705882355</v>
      </c>
    </row>
    <row r="49" spans="8:36" ht="18" customHeight="1" x14ac:dyDescent="0.45">
      <c r="I49" s="23" t="s">
        <v>479</v>
      </c>
      <c r="J49" s="23"/>
      <c r="K49" s="23"/>
      <c r="L49" s="23"/>
      <c r="M49" s="23"/>
      <c r="P49" s="23" t="s">
        <v>480</v>
      </c>
      <c r="Q49" s="23"/>
      <c r="R49" s="23"/>
      <c r="S49" s="23"/>
      <c r="T49" s="23"/>
      <c r="W49" s="23" t="s">
        <v>479</v>
      </c>
      <c r="X49" s="23"/>
      <c r="Y49" s="23"/>
      <c r="Z49" s="23"/>
      <c r="AA49" s="23"/>
      <c r="AB49" s="23"/>
      <c r="AE49" s="23" t="s">
        <v>480</v>
      </c>
      <c r="AF49" s="23"/>
      <c r="AG49" s="23"/>
      <c r="AH49" s="23"/>
      <c r="AI49" s="23"/>
      <c r="AJ49" s="23"/>
    </row>
    <row r="50" spans="8:36" ht="18" customHeight="1" x14ac:dyDescent="0.45">
      <c r="H50" s="14" t="s">
        <v>478</v>
      </c>
      <c r="I50" s="18" t="s">
        <v>464</v>
      </c>
      <c r="J50" s="19" t="s">
        <v>476</v>
      </c>
      <c r="K50" s="19" t="s">
        <v>477</v>
      </c>
      <c r="L50" s="19" t="s">
        <v>475</v>
      </c>
      <c r="M50" s="19" t="s">
        <v>474</v>
      </c>
      <c r="O50" s="14" t="s">
        <v>478</v>
      </c>
      <c r="P50" s="18" t="s">
        <v>464</v>
      </c>
      <c r="Q50" s="19" t="s">
        <v>481</v>
      </c>
      <c r="R50" s="19" t="s">
        <v>482</v>
      </c>
      <c r="S50" s="19" t="s">
        <v>483</v>
      </c>
      <c r="T50" s="19" t="s">
        <v>474</v>
      </c>
      <c r="V50" s="14" t="s">
        <v>478</v>
      </c>
      <c r="W50" s="18" t="s">
        <v>464</v>
      </c>
      <c r="X50" s="19" t="s">
        <v>484</v>
      </c>
      <c r="Y50" s="19" t="s">
        <v>476</v>
      </c>
      <c r="Z50" s="19" t="s">
        <v>477</v>
      </c>
      <c r="AA50" s="19" t="s">
        <v>475</v>
      </c>
      <c r="AB50" s="19" t="s">
        <v>474</v>
      </c>
      <c r="AD50" s="14" t="s">
        <v>478</v>
      </c>
      <c r="AE50" s="18" t="s">
        <v>464</v>
      </c>
      <c r="AF50" s="19" t="s">
        <v>484</v>
      </c>
      <c r="AG50" s="19" t="s">
        <v>481</v>
      </c>
      <c r="AH50" s="19" t="s">
        <v>482</v>
      </c>
      <c r="AI50" s="19" t="s">
        <v>483</v>
      </c>
      <c r="AJ50" s="19" t="s">
        <v>474</v>
      </c>
    </row>
    <row r="51" spans="8:36" ht="18" customHeight="1" x14ac:dyDescent="0.45">
      <c r="H51" s="14"/>
      <c r="I51" s="20" t="s">
        <v>472</v>
      </c>
      <c r="J51" s="21">
        <f>COUNTIFS(dados_filtrado!$AF:$AF,Planilha2!J$29,dados_filtrado!$AE:$AE,Planilha2!$I51,dados_filtrado!$AB:$AB,Planilha2!I50)</f>
        <v>3</v>
      </c>
      <c r="K51" s="21">
        <f>COUNTIFS(dados_filtrado!$AF:$AF,Planilha2!K$29,dados_filtrado!$AE:$AE,Planilha2!$I51,dados_filtrado!$AB:$AB,Planilha2!I50)</f>
        <v>12</v>
      </c>
      <c r="L51" s="21">
        <f>COUNTIFS(dados_filtrado!$AF:$AF,Planilha2!L$29,dados_filtrado!$AE:$AE,Planilha2!$I51,dados_filtrado!$AB:$AB,Planilha2!I50)</f>
        <v>11</v>
      </c>
      <c r="M51" s="21">
        <f>SUM(J51:L51)</f>
        <v>26</v>
      </c>
      <c r="O51" s="14"/>
      <c r="P51" s="20" t="s">
        <v>472</v>
      </c>
      <c r="Q51" s="21">
        <f>COUNTIFS(dados_filtrado!$AG:$AG,Planilha2!Q$29,dados_filtrado!$AE:$AE,Planilha2!$I51,dados_filtrado!$AB:$AB,Planilha2!P50)</f>
        <v>9</v>
      </c>
      <c r="R51" s="21">
        <f>COUNTIFS(dados_filtrado!$AG:$AG,Planilha2!R$29,dados_filtrado!$AE:$AE,Planilha2!$I51,dados_filtrado!$AB:$AB,Planilha2!P50)</f>
        <v>12</v>
      </c>
      <c r="S51" s="21">
        <f>COUNTIFS(dados_filtrado!$AG:$AG,Planilha2!S$29,dados_filtrado!$AE:$AE,Planilha2!$I51,dados_filtrado!$AB:$AB,Planilha2!P50)</f>
        <v>5</v>
      </c>
      <c r="T51" s="21">
        <f>SUM(Q51:S51)</f>
        <v>26</v>
      </c>
      <c r="V51" s="14"/>
      <c r="W51" s="20" t="s">
        <v>472</v>
      </c>
      <c r="X51" s="21">
        <f>T51</f>
        <v>26</v>
      </c>
      <c r="Y51" s="24">
        <f>J51/$X51</f>
        <v>0.11538461538461539</v>
      </c>
      <c r="Z51" s="24">
        <f t="shared" ref="Z51:Z54" si="31">K51/$X51</f>
        <v>0.46153846153846156</v>
      </c>
      <c r="AA51" s="24">
        <f t="shared" ref="AA51:AA54" si="32">L51/$X51</f>
        <v>0.42307692307692307</v>
      </c>
      <c r="AB51" s="24">
        <f t="shared" ref="AB51:AB54" si="33">M51/$X51</f>
        <v>1</v>
      </c>
      <c r="AD51" s="14"/>
      <c r="AE51" s="20" t="s">
        <v>472</v>
      </c>
      <c r="AF51" s="21">
        <f>X51</f>
        <v>26</v>
      </c>
      <c r="AG51" s="24">
        <f>Q51/$AF51</f>
        <v>0.34615384615384615</v>
      </c>
      <c r="AH51" s="24">
        <f t="shared" ref="AH51:AH54" si="34">R51/$AF51</f>
        <v>0.46153846153846156</v>
      </c>
      <c r="AI51" s="24">
        <f t="shared" ref="AI51:AI54" si="35">S51/$AF51</f>
        <v>0.19230769230769232</v>
      </c>
      <c r="AJ51" s="24">
        <f t="shared" ref="AJ51:AJ54" si="36">T51/$AF51</f>
        <v>1</v>
      </c>
    </row>
    <row r="52" spans="8:36" ht="18" customHeight="1" x14ac:dyDescent="0.45">
      <c r="H52" s="14"/>
      <c r="I52" s="20" t="s">
        <v>471</v>
      </c>
      <c r="J52" s="21">
        <f>COUNTIFS(dados_filtrado!$AF:$AF,Planilha2!J$29,dados_filtrado!$AE:$AE,Planilha2!$I52,dados_filtrado!$AB:$AB,Planilha2!I50)</f>
        <v>0</v>
      </c>
      <c r="K52" s="21">
        <f>COUNTIFS(dados_filtrado!$AF:$AF,Planilha2!K$29,dados_filtrado!$AE:$AE,Planilha2!$I52,dados_filtrado!$AB:$AB,Planilha2!I50)</f>
        <v>2</v>
      </c>
      <c r="L52" s="21">
        <f>COUNTIFS(dados_filtrado!$AF:$AF,Planilha2!L$29,dados_filtrado!$AE:$AE,Planilha2!$I52,dados_filtrado!$AB:$AB,Planilha2!I50)</f>
        <v>2</v>
      </c>
      <c r="M52" s="21">
        <f>SUM(J52:L52)</f>
        <v>4</v>
      </c>
      <c r="O52" s="14"/>
      <c r="P52" s="20" t="s">
        <v>471</v>
      </c>
      <c r="Q52" s="21">
        <f>COUNTIFS(dados_filtrado!$AG:$AG,Planilha2!Q$29,dados_filtrado!$AE:$AE,Planilha2!$I52,dados_filtrado!$AB:$AB,Planilha2!P50)</f>
        <v>1</v>
      </c>
      <c r="R52" s="21">
        <f>COUNTIFS(dados_filtrado!$AG:$AG,Planilha2!R$29,dados_filtrado!$AE:$AE,Planilha2!$I52,dados_filtrado!$AB:$AB,Planilha2!P50)</f>
        <v>1</v>
      </c>
      <c r="S52" s="21">
        <f>COUNTIFS(dados_filtrado!$AG:$AG,Planilha2!S$29,dados_filtrado!$AE:$AE,Planilha2!$I52,dados_filtrado!$AB:$AB,Planilha2!P50)</f>
        <v>2</v>
      </c>
      <c r="T52" s="21">
        <f>SUM(Q52:S52)</f>
        <v>4</v>
      </c>
      <c r="V52" s="14"/>
      <c r="W52" s="20" t="s">
        <v>471</v>
      </c>
      <c r="X52" s="21">
        <f t="shared" ref="X52:X54" si="37">T52</f>
        <v>4</v>
      </c>
      <c r="Y52" s="24">
        <f t="shared" ref="Y52:Y54" si="38">J52/$X52</f>
        <v>0</v>
      </c>
      <c r="Z52" s="24">
        <f t="shared" si="31"/>
        <v>0.5</v>
      </c>
      <c r="AA52" s="24">
        <f t="shared" si="32"/>
        <v>0.5</v>
      </c>
      <c r="AB52" s="24">
        <f t="shared" si="33"/>
        <v>1</v>
      </c>
      <c r="AD52" s="14"/>
      <c r="AE52" s="20" t="s">
        <v>471</v>
      </c>
      <c r="AF52" s="21">
        <f t="shared" ref="AF52:AF54" si="39">X52</f>
        <v>4</v>
      </c>
      <c r="AG52" s="24">
        <f t="shared" ref="AG52:AG54" si="40">Q52/$AF52</f>
        <v>0.25</v>
      </c>
      <c r="AH52" s="24">
        <f t="shared" si="34"/>
        <v>0.25</v>
      </c>
      <c r="AI52" s="24">
        <f t="shared" si="35"/>
        <v>0.5</v>
      </c>
      <c r="AJ52" s="24">
        <f t="shared" si="36"/>
        <v>1</v>
      </c>
    </row>
    <row r="53" spans="8:36" ht="18" customHeight="1" x14ac:dyDescent="0.45">
      <c r="H53" s="14"/>
      <c r="I53" s="20" t="s">
        <v>473</v>
      </c>
      <c r="J53" s="21">
        <f>COUNTIFS(dados_filtrado!$AF:$AF,Planilha2!J$29,dados_filtrado!$AE:$AE,Planilha2!$I53,dados_filtrado!$AB:$AB,Planilha2!I50)</f>
        <v>1</v>
      </c>
      <c r="K53" s="21">
        <f>COUNTIFS(dados_filtrado!$AF:$AF,Planilha2!K$29,dados_filtrado!$AE:$AE,Planilha2!$I53,dados_filtrado!$AB:$AB,Planilha2!I50)</f>
        <v>0</v>
      </c>
      <c r="L53" s="21">
        <f>COUNTIFS(dados_filtrado!$AF:$AF,Planilha2!L$29,dados_filtrado!$AE:$AE,Planilha2!$I53,dados_filtrado!$AB:$AB,Planilha2!I50)</f>
        <v>11</v>
      </c>
      <c r="M53" s="21">
        <f>SUM(J53:L53)</f>
        <v>12</v>
      </c>
      <c r="O53" s="14"/>
      <c r="P53" s="20" t="s">
        <v>473</v>
      </c>
      <c r="Q53" s="21">
        <f>COUNTIFS(dados_filtrado!$AG:$AG,Planilha2!Q$29,dados_filtrado!$AE:$AE,Planilha2!$I53,dados_filtrado!$AB:$AB,Planilha2!P50)</f>
        <v>1</v>
      </c>
      <c r="R53" s="21">
        <f>COUNTIFS(dados_filtrado!$AG:$AG,Planilha2!R$29,dados_filtrado!$AE:$AE,Planilha2!$I53,dados_filtrado!$AB:$AB,Planilha2!P50)</f>
        <v>2</v>
      </c>
      <c r="S53" s="21">
        <f>COUNTIFS(dados_filtrado!$AG:$AG,Planilha2!S$29,dados_filtrado!$AE:$AE,Planilha2!$I53,dados_filtrado!$AB:$AB,Planilha2!P50)</f>
        <v>9</v>
      </c>
      <c r="T53" s="21">
        <f>SUM(Q53:S53)</f>
        <v>12</v>
      </c>
      <c r="V53" s="14"/>
      <c r="W53" s="20" t="s">
        <v>473</v>
      </c>
      <c r="X53" s="21">
        <f t="shared" si="37"/>
        <v>12</v>
      </c>
      <c r="Y53" s="24">
        <f t="shared" si="38"/>
        <v>8.3333333333333329E-2</v>
      </c>
      <c r="Z53" s="24">
        <f t="shared" si="31"/>
        <v>0</v>
      </c>
      <c r="AA53" s="24">
        <f t="shared" si="32"/>
        <v>0.91666666666666663</v>
      </c>
      <c r="AB53" s="24">
        <f t="shared" si="33"/>
        <v>1</v>
      </c>
      <c r="AD53" s="14"/>
      <c r="AE53" s="20" t="s">
        <v>473</v>
      </c>
      <c r="AF53" s="21">
        <f t="shared" si="39"/>
        <v>12</v>
      </c>
      <c r="AG53" s="24">
        <f t="shared" si="40"/>
        <v>8.3333333333333329E-2</v>
      </c>
      <c r="AH53" s="24">
        <f t="shared" si="34"/>
        <v>0.16666666666666666</v>
      </c>
      <c r="AI53" s="24">
        <f t="shared" si="35"/>
        <v>0.75</v>
      </c>
      <c r="AJ53" s="24">
        <f t="shared" si="36"/>
        <v>1</v>
      </c>
    </row>
    <row r="54" spans="8:36" ht="18" customHeight="1" x14ac:dyDescent="0.45">
      <c r="H54" s="14"/>
      <c r="I54" s="25" t="s">
        <v>474</v>
      </c>
      <c r="J54" s="26">
        <f>SUM(J51:J53)</f>
        <v>4</v>
      </c>
      <c r="K54" s="26">
        <f>SUM(K51:K53)</f>
        <v>14</v>
      </c>
      <c r="L54" s="26">
        <f>SUM(L51:L53)</f>
        <v>24</v>
      </c>
      <c r="M54" s="26">
        <f>SUM(J54:L54)</f>
        <v>42</v>
      </c>
      <c r="O54" s="14"/>
      <c r="P54" s="25" t="s">
        <v>474</v>
      </c>
      <c r="Q54" s="26">
        <f>SUM(Q51:Q53)</f>
        <v>11</v>
      </c>
      <c r="R54" s="26">
        <f>SUM(R51:R53)</f>
        <v>15</v>
      </c>
      <c r="S54" s="26">
        <f>SUM(S51:S53)</f>
        <v>16</v>
      </c>
      <c r="T54" s="26">
        <f>SUM(Q54:S54)</f>
        <v>42</v>
      </c>
      <c r="V54" s="14"/>
      <c r="W54" s="25" t="s">
        <v>474</v>
      </c>
      <c r="X54" s="26">
        <f t="shared" si="37"/>
        <v>42</v>
      </c>
      <c r="Y54" s="27">
        <f t="shared" si="38"/>
        <v>9.5238095238095233E-2</v>
      </c>
      <c r="Z54" s="27">
        <f t="shared" si="31"/>
        <v>0.33333333333333331</v>
      </c>
      <c r="AA54" s="27">
        <f t="shared" si="32"/>
        <v>0.5714285714285714</v>
      </c>
      <c r="AB54" s="27">
        <f t="shared" si="33"/>
        <v>1</v>
      </c>
      <c r="AD54" s="14"/>
      <c r="AE54" s="25" t="s">
        <v>474</v>
      </c>
      <c r="AF54" s="26">
        <f t="shared" si="39"/>
        <v>42</v>
      </c>
      <c r="AG54" s="27">
        <f t="shared" si="40"/>
        <v>0.26190476190476192</v>
      </c>
      <c r="AH54" s="27">
        <f t="shared" si="34"/>
        <v>0.35714285714285715</v>
      </c>
      <c r="AI54" s="27">
        <f t="shared" si="35"/>
        <v>0.38095238095238093</v>
      </c>
      <c r="AJ54" s="27">
        <f t="shared" si="36"/>
        <v>1</v>
      </c>
    </row>
    <row r="55" spans="8:36" x14ac:dyDescent="0.45">
      <c r="X55" s="28">
        <f>X54/X$33</f>
        <v>0.24705882352941178</v>
      </c>
    </row>
  </sheetData>
  <sortState xmlns:xlrd2="http://schemas.microsoft.com/office/spreadsheetml/2017/richdata2" ref="I59:I225">
    <sortCondition ref="I59:I225"/>
  </sortState>
  <mergeCells count="32">
    <mergeCell ref="AE49:AJ49"/>
    <mergeCell ref="W28:AB28"/>
    <mergeCell ref="AE28:AJ28"/>
    <mergeCell ref="W35:AB35"/>
    <mergeCell ref="AE35:AJ35"/>
    <mergeCell ref="W42:AB42"/>
    <mergeCell ref="AE42:AJ42"/>
    <mergeCell ref="V29:V33"/>
    <mergeCell ref="V36:V40"/>
    <mergeCell ref="V43:V47"/>
    <mergeCell ref="V50:V54"/>
    <mergeCell ref="AD29:AD33"/>
    <mergeCell ref="AD36:AD40"/>
    <mergeCell ref="AD43:AD47"/>
    <mergeCell ref="AD50:AD54"/>
    <mergeCell ref="W49:AB49"/>
    <mergeCell ref="O29:O33"/>
    <mergeCell ref="O36:O40"/>
    <mergeCell ref="O43:O47"/>
    <mergeCell ref="O50:O54"/>
    <mergeCell ref="P28:T28"/>
    <mergeCell ref="P35:T35"/>
    <mergeCell ref="P42:T42"/>
    <mergeCell ref="P49:T49"/>
    <mergeCell ref="I28:M28"/>
    <mergeCell ref="H29:H33"/>
    <mergeCell ref="H36:H40"/>
    <mergeCell ref="H43:H47"/>
    <mergeCell ref="H50:H54"/>
    <mergeCell ref="I35:M35"/>
    <mergeCell ref="I42:M42"/>
    <mergeCell ref="I49:M4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Gráficos</vt:lpstr>
      </vt:variant>
      <vt:variant>
        <vt:i4>1</vt:i4>
      </vt:variant>
    </vt:vector>
  </HeadingPairs>
  <TitlesOfParts>
    <vt:vector size="4" baseType="lpstr">
      <vt:lpstr>dados_original</vt:lpstr>
      <vt:lpstr>dados_filtrado</vt:lpstr>
      <vt:lpstr>Planilha2</vt:lpstr>
      <vt:lpstr>Gráfico2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Octavio Abiusi</cp:lastModifiedBy>
  <dcterms:created xsi:type="dcterms:W3CDTF">2026-03-25T12:01:11Z</dcterms:created>
  <dcterms:modified xsi:type="dcterms:W3CDTF">2026-03-25T17:59:58Z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e403ef-76fa-4da1-b926-8b3591d77b68_Enabled">
    <vt:lpwstr>true</vt:lpwstr>
  </property>
  <property fmtid="{D5CDD505-2E9C-101B-9397-08002B2CF9AE}" pid="3" name="MSIP_Label_30e403ef-76fa-4da1-b926-8b3591d77b68_SetDate">
    <vt:lpwstr>2026-03-25T12:22:48Z</vt:lpwstr>
  </property>
  <property fmtid="{D5CDD505-2E9C-101B-9397-08002B2CF9AE}" pid="4" name="MSIP_Label_30e403ef-76fa-4da1-b926-8b3591d77b68_Method">
    <vt:lpwstr>Standard</vt:lpwstr>
  </property>
  <property fmtid="{D5CDD505-2E9C-101B-9397-08002B2CF9AE}" pid="5" name="MSIP_Label_30e403ef-76fa-4da1-b926-8b3591d77b68_Name">
    <vt:lpwstr>Confidencial</vt:lpwstr>
  </property>
  <property fmtid="{D5CDD505-2E9C-101B-9397-08002B2CF9AE}" pid="6" name="MSIP_Label_30e403ef-76fa-4da1-b926-8b3591d77b68_SiteId">
    <vt:lpwstr>37aed7c7-097f-4982-af5c-76f0d32947db</vt:lpwstr>
  </property>
  <property fmtid="{D5CDD505-2E9C-101B-9397-08002B2CF9AE}" pid="7" name="MSIP_Label_30e403ef-76fa-4da1-b926-8b3591d77b68_ActionId">
    <vt:lpwstr>9562542c-c86f-4f4a-a230-6569fde5807f</vt:lpwstr>
  </property>
  <property fmtid="{D5CDD505-2E9C-101B-9397-08002B2CF9AE}" pid="8" name="MSIP_Label_30e403ef-76fa-4da1-b926-8b3591d77b68_ContentBits">
    <vt:lpwstr>0</vt:lpwstr>
  </property>
  <property fmtid="{D5CDD505-2E9C-101B-9397-08002B2CF9AE}" pid="9" name="MSIP_Label_30e403ef-76fa-4da1-b926-8b3591d77b68_Tag">
    <vt:lpwstr>10, 3, 0, 1</vt:lpwstr>
  </property>
</Properties>
</file>